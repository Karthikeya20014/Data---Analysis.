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_Science\Data_Analysis_Projects\SQL_Projects\Chocolate Sales\"/>
    </mc:Choice>
  </mc:AlternateContent>
  <xr:revisionPtr revIDLastSave="0" documentId="13_ncr:1_{4D30A877-5483-47D5-8D4B-34BAA497567B}" xr6:coauthVersionLast="47" xr6:coauthVersionMax="47" xr10:uidLastSave="{00000000-0000-0000-0000-000000000000}"/>
  <bookViews>
    <workbookView xWindow="-120" yWindow="-120" windowWidth="20730" windowHeight="11040" firstSheet="1" activeTab="1" xr2:uid="{3D9D1F69-AB91-42CD-B7C4-A9A5F9896D3F}"/>
  </bookViews>
  <sheets>
    <sheet name="chocolate_sales_2025_dataset" sheetId="2" r:id="rId1"/>
    <sheet name="Sales_Dashboard" sheetId="14" r:id="rId2"/>
    <sheet name="Monthly_Sales" sheetId="10" r:id="rId3"/>
    <sheet name="Channel_Sales" sheetId="3" r:id="rId4"/>
    <sheet name="Transactions_Through_Payment Me" sheetId="4" r:id="rId5"/>
    <sheet name="Revenue_From_Payment Methods" sheetId="5" r:id="rId6"/>
    <sheet name="Bradnwise_Revenue" sheetId="6" r:id="rId7"/>
    <sheet name="Productwise_Sales" sheetId="7" r:id="rId8"/>
    <sheet name="ProductWise_Units_Sold" sheetId="8" r:id="rId9"/>
    <sheet name="Sheet10" sheetId="25" r:id="rId10"/>
  </sheets>
  <definedNames>
    <definedName name="ExternalData_1" localSheetId="0" hidden="1">'chocolate_sales_2025_dataset'!$A$1:$J$501</definedName>
  </definedNames>
  <calcPr calcId="191029"/>
  <pivotCaches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4" l="1"/>
  <c r="B16" i="14"/>
  <c r="B10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1A3628-70C9-492F-B5EE-7A9AEC7316D4}" keepAlive="1" name="Query - chocolate_sales_2025_dataset" description="Connection to the 'chocolate_sales_2025_dataset' query in the workbook." type="5" refreshedVersion="8" background="1" saveData="1">
    <dbPr connection="Provider=Microsoft.Mashup.OleDb.1;Data Source=$Workbook$;Location=chocolate_sales_2025_dataset;Extended Properties=&quot;&quot;" command="SELECT * FROM [chocolate_sales_2025_dataset]"/>
  </connection>
</connections>
</file>

<file path=xl/sharedStrings.xml><?xml version="1.0" encoding="utf-8"?>
<sst xmlns="http://schemas.openxmlformats.org/spreadsheetml/2006/main" count="2626" uniqueCount="66">
  <si>
    <t>Sale_ID</t>
  </si>
  <si>
    <t>Date</t>
  </si>
  <si>
    <t>Brand</t>
  </si>
  <si>
    <t>Product_Type</t>
  </si>
  <si>
    <t>Country</t>
  </si>
  <si>
    <t>Sales_Channel</t>
  </si>
  <si>
    <t>Payment_Method</t>
  </si>
  <si>
    <t>Price_USD</t>
  </si>
  <si>
    <t>Units_Sold</t>
  </si>
  <si>
    <t>Revenue_USD</t>
  </si>
  <si>
    <t>Cadbury</t>
  </si>
  <si>
    <t>Milk Chocolate</t>
  </si>
  <si>
    <t>France</t>
  </si>
  <si>
    <t>Supermarket</t>
  </si>
  <si>
    <t>Digital Wallet</t>
  </si>
  <si>
    <t>Lindt</t>
  </si>
  <si>
    <t>Chocolate Bar</t>
  </si>
  <si>
    <t>India</t>
  </si>
  <si>
    <t>Online</t>
  </si>
  <si>
    <t>Cash</t>
  </si>
  <si>
    <t>Toblerone</t>
  </si>
  <si>
    <t>Dark Chocolate</t>
  </si>
  <si>
    <t>Australia</t>
  </si>
  <si>
    <t>Ferrero</t>
  </si>
  <si>
    <t>Truffles</t>
  </si>
  <si>
    <t>Italy</t>
  </si>
  <si>
    <t>Convenience Store</t>
  </si>
  <si>
    <t>Nestle</t>
  </si>
  <si>
    <t>White Chocolate</t>
  </si>
  <si>
    <t>UAE</t>
  </si>
  <si>
    <t>Mars</t>
  </si>
  <si>
    <t>Germany</t>
  </si>
  <si>
    <t>Card</t>
  </si>
  <si>
    <t>Chocolate Box</t>
  </si>
  <si>
    <t>UK</t>
  </si>
  <si>
    <t>Saudi Arabia</t>
  </si>
  <si>
    <t>Specialty Store</t>
  </si>
  <si>
    <t>Hershey</t>
  </si>
  <si>
    <t>Canada</t>
  </si>
  <si>
    <t>USA</t>
  </si>
  <si>
    <t>Row Labels</t>
  </si>
  <si>
    <t>Grand Total</t>
  </si>
  <si>
    <t>Sum of Units_Sold</t>
  </si>
  <si>
    <t>Sum of Revenue_USD</t>
  </si>
  <si>
    <t>Count of Payment_Method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</si>
  <si>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</si>
  <si>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</si>
  <si>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</si>
  <si>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</si>
  <si>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</si>
  <si>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</si>
  <si>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</si>
  <si>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</si>
  <si>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</si>
  <si>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</si>
  <si>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</si>
  <si>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</si>
  <si>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Chocolate Sales Analysis</t>
  </si>
  <si>
    <t>Total_Revenue</t>
  </si>
  <si>
    <t>Total_Txns</t>
  </si>
  <si>
    <t>Months</t>
  </si>
  <si>
    <t>Monthwise Increment/Decrement</t>
  </si>
  <si>
    <t>Scale of Sales</t>
  </si>
  <si>
    <t>Monthly Sales Distribution</t>
  </si>
  <si>
    <t>KPI'S</t>
  </si>
  <si>
    <t>Count of Sale_ID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</si>
</sst>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6F2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0" xfId="0" applyNumberFormat="1"/>
    <xf numFmtId="0" fontId="1" fillId="4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4" borderId="12" xfId="0" applyFont="1" applyFill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6F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Brandwise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Toblerone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118291.29</c:v>
              </c:pt>
            </c:numLit>
          </c:val>
          <c:extLst>
            <c:ext xmlns:c16="http://schemas.microsoft.com/office/drawing/2014/chart" uri="{C3380CC4-5D6E-409C-BE32-E72D297353CC}">
              <c16:uniqueId val="{00000000-40A9-4E20-805E-37F163957DEE}"/>
            </c:ext>
          </c:extLst>
        </c:ser>
        <c:ser>
          <c:idx val="1"/>
          <c:order val="1"/>
          <c:tx>
            <c:v>Mars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115337.38999999996</c:v>
              </c:pt>
            </c:numLit>
          </c:val>
          <c:extLst>
            <c:ext xmlns:c16="http://schemas.microsoft.com/office/drawing/2014/chart" uri="{C3380CC4-5D6E-409C-BE32-E72D297353CC}">
              <c16:uniqueId val="{00000001-40A9-4E20-805E-37F163957DEE}"/>
            </c:ext>
          </c:extLst>
        </c:ser>
        <c:ser>
          <c:idx val="2"/>
          <c:order val="2"/>
          <c:tx>
            <c:v>Lindt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106042.48</c:v>
              </c:pt>
            </c:numLit>
          </c:val>
          <c:extLst>
            <c:ext xmlns:c16="http://schemas.microsoft.com/office/drawing/2014/chart" uri="{C3380CC4-5D6E-409C-BE32-E72D297353CC}">
              <c16:uniqueId val="{00000002-40A9-4E20-805E-37F163957DEE}"/>
            </c:ext>
          </c:extLst>
        </c:ser>
        <c:ser>
          <c:idx val="3"/>
          <c:order val="3"/>
          <c:tx>
            <c:v>Nestle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100439.80000000002</c:v>
              </c:pt>
            </c:numLit>
          </c:val>
          <c:extLst>
            <c:ext xmlns:c16="http://schemas.microsoft.com/office/drawing/2014/chart" uri="{C3380CC4-5D6E-409C-BE32-E72D297353CC}">
              <c16:uniqueId val="{00000003-40A9-4E20-805E-37F163957DEE}"/>
            </c:ext>
          </c:extLst>
        </c:ser>
        <c:ser>
          <c:idx val="4"/>
          <c:order val="4"/>
          <c:tx>
            <c:v>Ferrero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93826.159999999989</c:v>
              </c:pt>
            </c:numLit>
          </c:val>
          <c:extLst>
            <c:ext xmlns:c16="http://schemas.microsoft.com/office/drawing/2014/chart" uri="{C3380CC4-5D6E-409C-BE32-E72D297353CC}">
              <c16:uniqueId val="{00000004-40A9-4E20-805E-37F163957DEE}"/>
            </c:ext>
          </c:extLst>
        </c:ser>
        <c:ser>
          <c:idx val="5"/>
          <c:order val="5"/>
          <c:tx>
            <c:v>Cadbury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91669.719999999972</c:v>
              </c:pt>
            </c:numLit>
          </c:val>
          <c:extLst>
            <c:ext xmlns:c16="http://schemas.microsoft.com/office/drawing/2014/chart" uri="{C3380CC4-5D6E-409C-BE32-E72D297353CC}">
              <c16:uniqueId val="{00000005-40A9-4E20-805E-37F163957DEE}"/>
            </c:ext>
          </c:extLst>
        </c:ser>
        <c:ser>
          <c:idx val="6"/>
          <c:order val="6"/>
          <c:tx>
            <c:v>Hershey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91088.73000000001</c:v>
              </c:pt>
            </c:numLit>
          </c:val>
          <c:extLst>
            <c:ext xmlns:c16="http://schemas.microsoft.com/office/drawing/2014/chart" uri="{C3380CC4-5D6E-409C-BE32-E72D297353CC}">
              <c16:uniqueId val="{00000006-40A9-4E20-805E-37F163957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8407264"/>
        <c:axId val="1318407744"/>
      </c:barChart>
      <c:catAx>
        <c:axId val="131840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Brand 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407744"/>
        <c:crosses val="autoZero"/>
        <c:auto val="1"/>
        <c:lblAlgn val="ctr"/>
        <c:lblOffset val="100"/>
        <c:noMultiLvlLbl val="0"/>
      </c:catAx>
      <c:valAx>
        <c:axId val="13184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40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Australia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64400.55</c:v>
              </c:pt>
            </c:numLit>
          </c:val>
          <c:extLst>
            <c:ext xmlns:c16="http://schemas.microsoft.com/office/drawing/2014/chart" uri="{C3380CC4-5D6E-409C-BE32-E72D297353CC}">
              <c16:uniqueId val="{00000000-9E97-4608-99A7-800A75F79D9E}"/>
            </c:ext>
          </c:extLst>
        </c:ser>
        <c:ser>
          <c:idx val="1"/>
          <c:order val="1"/>
          <c:tx>
            <c:v>Canada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80937.239999999976</c:v>
              </c:pt>
            </c:numLit>
          </c:val>
          <c:extLst>
            <c:ext xmlns:c16="http://schemas.microsoft.com/office/drawing/2014/chart" uri="{C3380CC4-5D6E-409C-BE32-E72D297353CC}">
              <c16:uniqueId val="{00000001-9E97-4608-99A7-800A75F79D9E}"/>
            </c:ext>
          </c:extLst>
        </c:ser>
        <c:ser>
          <c:idx val="2"/>
          <c:order val="2"/>
          <c:tx>
            <c:v>France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89956.88</c:v>
              </c:pt>
            </c:numLit>
          </c:val>
          <c:extLst>
            <c:ext xmlns:c16="http://schemas.microsoft.com/office/drawing/2014/chart" uri="{C3380CC4-5D6E-409C-BE32-E72D297353CC}">
              <c16:uniqueId val="{00000002-9E97-4608-99A7-800A75F79D9E}"/>
            </c:ext>
          </c:extLst>
        </c:ser>
        <c:ser>
          <c:idx val="3"/>
          <c:order val="3"/>
          <c:tx>
            <c:v>Germany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74267.030000000013</c:v>
              </c:pt>
            </c:numLit>
          </c:val>
          <c:extLst>
            <c:ext xmlns:c16="http://schemas.microsoft.com/office/drawing/2014/chart" uri="{C3380CC4-5D6E-409C-BE32-E72D297353CC}">
              <c16:uniqueId val="{00000003-9E97-4608-99A7-800A75F79D9E}"/>
            </c:ext>
          </c:extLst>
        </c:ser>
        <c:ser>
          <c:idx val="4"/>
          <c:order val="4"/>
          <c:tx>
            <c:v>India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77033.349999999991</c:v>
              </c:pt>
            </c:numLit>
          </c:val>
          <c:extLst>
            <c:ext xmlns:c16="http://schemas.microsoft.com/office/drawing/2014/chart" uri="{C3380CC4-5D6E-409C-BE32-E72D297353CC}">
              <c16:uniqueId val="{00000004-9E97-4608-99A7-800A75F79D9E}"/>
            </c:ext>
          </c:extLst>
        </c:ser>
        <c:ser>
          <c:idx val="5"/>
          <c:order val="5"/>
          <c:tx>
            <c:v>Italy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68370.53</c:v>
              </c:pt>
            </c:numLit>
          </c:val>
          <c:extLst>
            <c:ext xmlns:c16="http://schemas.microsoft.com/office/drawing/2014/chart" uri="{C3380CC4-5D6E-409C-BE32-E72D297353CC}">
              <c16:uniqueId val="{00000005-9E97-4608-99A7-800A75F79D9E}"/>
            </c:ext>
          </c:extLst>
        </c:ser>
        <c:ser>
          <c:idx val="6"/>
          <c:order val="6"/>
          <c:tx>
            <c:v>Saudi Arabia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71646.470000000016</c:v>
              </c:pt>
            </c:numLit>
          </c:val>
          <c:extLst>
            <c:ext xmlns:c16="http://schemas.microsoft.com/office/drawing/2014/chart" uri="{C3380CC4-5D6E-409C-BE32-E72D297353CC}">
              <c16:uniqueId val="{00000006-9E97-4608-99A7-800A75F79D9E}"/>
            </c:ext>
          </c:extLst>
        </c:ser>
        <c:ser>
          <c:idx val="7"/>
          <c:order val="7"/>
          <c:tx>
            <c:v>UAE</c:v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59204.410000000011</c:v>
              </c:pt>
            </c:numLit>
          </c:val>
          <c:extLst>
            <c:ext xmlns:c16="http://schemas.microsoft.com/office/drawing/2014/chart" uri="{C3380CC4-5D6E-409C-BE32-E72D297353CC}">
              <c16:uniqueId val="{00000007-9E97-4608-99A7-800A75F79D9E}"/>
            </c:ext>
          </c:extLst>
        </c:ser>
        <c:ser>
          <c:idx val="8"/>
          <c:order val="8"/>
          <c:tx>
            <c:v>UK</c:v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76796.23</c:v>
              </c:pt>
            </c:numLit>
          </c:val>
          <c:extLst>
            <c:ext xmlns:c16="http://schemas.microsoft.com/office/drawing/2014/chart" uri="{C3380CC4-5D6E-409C-BE32-E72D297353CC}">
              <c16:uniqueId val="{00000008-9E97-4608-99A7-800A75F79D9E}"/>
            </c:ext>
          </c:extLst>
        </c:ser>
        <c:ser>
          <c:idx val="9"/>
          <c:order val="9"/>
          <c:tx>
            <c:v>USA</c:v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54082.87999999999</c:v>
              </c:pt>
            </c:numLit>
          </c:val>
          <c:extLst>
            <c:ext xmlns:c16="http://schemas.microsoft.com/office/drawing/2014/chart" uri="{C3380CC4-5D6E-409C-BE32-E72D297353CC}">
              <c16:uniqueId val="{00000009-9E97-4608-99A7-800A75F79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2628080"/>
        <c:axId val="1092644880"/>
      </c:barChart>
      <c:catAx>
        <c:axId val="109262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44880"/>
        <c:crosses val="autoZero"/>
        <c:auto val="1"/>
        <c:lblAlgn val="ctr"/>
        <c:lblOffset val="100"/>
        <c:noMultiLvlLbl val="0"/>
      </c:catAx>
      <c:valAx>
        <c:axId val="10926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59929.299999999996</c:v>
              </c:pt>
              <c:pt idx="1">
                <c:v>55600.409999999996</c:v>
              </c:pt>
              <c:pt idx="2">
                <c:v>64676.639999999999</c:v>
              </c:pt>
              <c:pt idx="3">
                <c:v>36590.680000000008</c:v>
              </c:pt>
              <c:pt idx="4">
                <c:v>67848.539999999994</c:v>
              </c:pt>
              <c:pt idx="5">
                <c:v>74794.700000000012</c:v>
              </c:pt>
              <c:pt idx="6">
                <c:v>60032.52</c:v>
              </c:pt>
              <c:pt idx="7">
                <c:v>71731.64</c:v>
              </c:pt>
              <c:pt idx="8">
                <c:v>54336.649999999994</c:v>
              </c:pt>
              <c:pt idx="9">
                <c:v>61685.609999999993</c:v>
              </c:pt>
              <c:pt idx="10">
                <c:v>44859.25</c:v>
              </c:pt>
              <c:pt idx="11">
                <c:v>64609.63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C55-46E7-A49C-5F674753F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639600"/>
        <c:axId val="1092636720"/>
      </c:lineChart>
      <c:catAx>
        <c:axId val="109263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36720"/>
        <c:crosses val="autoZero"/>
        <c:auto val="1"/>
        <c:lblAlgn val="ctr"/>
        <c:lblOffset val="100"/>
        <c:noMultiLvlLbl val="0"/>
      </c:catAx>
      <c:valAx>
        <c:axId val="10926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3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Chocolate Bar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114664.96999999994</c:v>
              </c:pt>
            </c:numLit>
          </c:val>
          <c:extLst>
            <c:ext xmlns:c16="http://schemas.microsoft.com/office/drawing/2014/chart" uri="{C3380CC4-5D6E-409C-BE32-E72D297353CC}">
              <c16:uniqueId val="{00000000-A72B-429B-943F-E42CD0803BFE}"/>
            </c:ext>
          </c:extLst>
        </c:ser>
        <c:ser>
          <c:idx val="1"/>
          <c:order val="1"/>
          <c:tx>
            <c:v>Chocolate Box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151378.86000000002</c:v>
              </c:pt>
            </c:numLit>
          </c:val>
          <c:extLst>
            <c:ext xmlns:c16="http://schemas.microsoft.com/office/drawing/2014/chart" uri="{C3380CC4-5D6E-409C-BE32-E72D297353CC}">
              <c16:uniqueId val="{00000006-A72B-429B-943F-E42CD0803BFE}"/>
            </c:ext>
          </c:extLst>
        </c:ser>
        <c:ser>
          <c:idx val="2"/>
          <c:order val="2"/>
          <c:tx>
            <c:v>Dark Chocolate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108655.80000000002</c:v>
              </c:pt>
            </c:numLit>
          </c:val>
          <c:extLst>
            <c:ext xmlns:c16="http://schemas.microsoft.com/office/drawing/2014/chart" uri="{C3380CC4-5D6E-409C-BE32-E72D297353CC}">
              <c16:uniqueId val="{00000007-A72B-429B-943F-E42CD0803BFE}"/>
            </c:ext>
          </c:extLst>
        </c:ser>
        <c:ser>
          <c:idx val="3"/>
          <c:order val="3"/>
          <c:tx>
            <c:v>Milk Chocolate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119985.57999999999</c:v>
              </c:pt>
            </c:numLit>
          </c:val>
          <c:extLst>
            <c:ext xmlns:c16="http://schemas.microsoft.com/office/drawing/2014/chart" uri="{C3380CC4-5D6E-409C-BE32-E72D297353CC}">
              <c16:uniqueId val="{00000008-A72B-429B-943F-E42CD0803BFE}"/>
            </c:ext>
          </c:extLst>
        </c:ser>
        <c:ser>
          <c:idx val="4"/>
          <c:order val="4"/>
          <c:tx>
            <c:v>Truffles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116117.81</c:v>
              </c:pt>
            </c:numLit>
          </c:val>
          <c:extLst>
            <c:ext xmlns:c16="http://schemas.microsoft.com/office/drawing/2014/chart" uri="{C3380CC4-5D6E-409C-BE32-E72D297353CC}">
              <c16:uniqueId val="{00000009-A72B-429B-943F-E42CD0803BFE}"/>
            </c:ext>
          </c:extLst>
        </c:ser>
        <c:ser>
          <c:idx val="5"/>
          <c:order val="5"/>
          <c:tx>
            <c:v>White Chocolate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105892.54999999996</c:v>
              </c:pt>
            </c:numLit>
          </c:val>
          <c:extLst>
            <c:ext xmlns:c16="http://schemas.microsoft.com/office/drawing/2014/chart" uri="{C3380CC4-5D6E-409C-BE32-E72D297353CC}">
              <c16:uniqueId val="{0000000A-A72B-429B-943F-E42CD0803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1334975"/>
        <c:axId val="1211338335"/>
      </c:barChart>
      <c:catAx>
        <c:axId val="121133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38335"/>
        <c:crosses val="autoZero"/>
        <c:auto val="1"/>
        <c:lblAlgn val="ctr"/>
        <c:lblOffset val="100"/>
        <c:noMultiLvlLbl val="0"/>
      </c:catAx>
      <c:valAx>
        <c:axId val="121133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Wise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Chocolate Bar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83</c:v>
              </c:pt>
            </c:numLit>
          </c:val>
          <c:extLst>
            <c:ext xmlns:c16="http://schemas.microsoft.com/office/drawing/2014/chart" uri="{C3380CC4-5D6E-409C-BE32-E72D297353CC}">
              <c16:uniqueId val="{00000000-D5BD-4132-B466-B7387351C73C}"/>
            </c:ext>
          </c:extLst>
        </c:ser>
        <c:ser>
          <c:idx val="1"/>
          <c:order val="1"/>
          <c:tx>
            <c:v>Chocolate Box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</c:v>
              </c:pt>
            </c:numLit>
          </c:val>
          <c:extLst>
            <c:ext xmlns:c16="http://schemas.microsoft.com/office/drawing/2014/chart" uri="{C3380CC4-5D6E-409C-BE32-E72D297353CC}">
              <c16:uniqueId val="{00000001-D5BD-4132-B466-B7387351C73C}"/>
            </c:ext>
          </c:extLst>
        </c:ser>
        <c:ser>
          <c:idx val="2"/>
          <c:order val="2"/>
          <c:tx>
            <c:v>Dark Chocolate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</c:v>
              </c:pt>
            </c:numLit>
          </c:val>
          <c:extLst>
            <c:ext xmlns:c16="http://schemas.microsoft.com/office/drawing/2014/chart" uri="{C3380CC4-5D6E-409C-BE32-E72D297353CC}">
              <c16:uniqueId val="{00000002-D5BD-4132-B466-B7387351C73C}"/>
            </c:ext>
          </c:extLst>
        </c:ser>
        <c:ser>
          <c:idx val="3"/>
          <c:order val="3"/>
          <c:tx>
            <c:v>Milk Chocolate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87</c:v>
              </c:pt>
            </c:numLit>
          </c:val>
          <c:extLst>
            <c:ext xmlns:c16="http://schemas.microsoft.com/office/drawing/2014/chart" uri="{C3380CC4-5D6E-409C-BE32-E72D297353CC}">
              <c16:uniqueId val="{00000003-D5BD-4132-B466-B7387351C73C}"/>
            </c:ext>
          </c:extLst>
        </c:ser>
        <c:ser>
          <c:idx val="4"/>
          <c:order val="4"/>
          <c:tx>
            <c:v>Truffles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83</c:v>
              </c:pt>
            </c:numLit>
          </c:val>
          <c:extLst>
            <c:ext xmlns:c16="http://schemas.microsoft.com/office/drawing/2014/chart" uri="{C3380CC4-5D6E-409C-BE32-E72D297353CC}">
              <c16:uniqueId val="{00000004-D5BD-4132-B466-B7387351C73C}"/>
            </c:ext>
          </c:extLst>
        </c:ser>
        <c:ser>
          <c:idx val="5"/>
          <c:order val="5"/>
          <c:tx>
            <c:v>White Chocolate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72</c:v>
              </c:pt>
            </c:numLit>
          </c:val>
          <c:extLst>
            <c:ext xmlns:c16="http://schemas.microsoft.com/office/drawing/2014/chart" uri="{C3380CC4-5D6E-409C-BE32-E72D297353CC}">
              <c16:uniqueId val="{00000005-D5BD-4132-B466-B7387351C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1387775"/>
        <c:axId val="1211395455"/>
      </c:barChart>
      <c:catAx>
        <c:axId val="121138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95455"/>
        <c:crosses val="autoZero"/>
        <c:auto val="1"/>
        <c:lblAlgn val="ctr"/>
        <c:lblOffset val="100"/>
        <c:noMultiLvlLbl val="0"/>
      </c:catAx>
      <c:valAx>
        <c:axId val="121139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8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[Chocolate_Project.xlsx]Monthly_Sales!PivotTable12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36293044619422565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Monthly_Sales!$A$4:$A$16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Monthly_Sales!$B$4:$B$16</c:f>
              <c:numCache>
                <c:formatCode>General</c:formatCode>
                <c:ptCount val="12"/>
                <c:pt idx="0">
                  <c:v>59929.299999999996</c:v>
                </c:pt>
                <c:pt idx="1">
                  <c:v>55600.409999999996</c:v>
                </c:pt>
                <c:pt idx="2">
                  <c:v>64676.639999999999</c:v>
                </c:pt>
                <c:pt idx="3">
                  <c:v>36590.680000000008</c:v>
                </c:pt>
                <c:pt idx="4">
                  <c:v>67848.539999999994</c:v>
                </c:pt>
                <c:pt idx="5">
                  <c:v>74794.700000000012</c:v>
                </c:pt>
                <c:pt idx="6">
                  <c:v>60032.52</c:v>
                </c:pt>
                <c:pt idx="7">
                  <c:v>71731.64</c:v>
                </c:pt>
                <c:pt idx="8">
                  <c:v>54336.649999999994</c:v>
                </c:pt>
                <c:pt idx="9">
                  <c:v>61685.609999999993</c:v>
                </c:pt>
                <c:pt idx="10">
                  <c:v>44859.25</c:v>
                </c:pt>
                <c:pt idx="11">
                  <c:v>64609.63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E-4E3B-B744-9E904B887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574959"/>
        <c:axId val="1609576399"/>
      </c:lineChart>
      <c:catAx>
        <c:axId val="1609574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76399"/>
        <c:crosses val="autoZero"/>
        <c:auto val="1"/>
        <c:lblAlgn val="ctr"/>
        <c:lblOffset val="100"/>
        <c:noMultiLvlLbl val="0"/>
      </c:catAx>
      <c:valAx>
        <c:axId val="16095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7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[Chocolate_Project.xlsx]Channel_Sales!PivotTable3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Channel Sales</a:t>
            </a:r>
          </a:p>
        </c:rich>
      </c:tx>
      <c:layout>
        <c:manualLayout>
          <c:xMode val="edge"/>
          <c:yMode val="edge"/>
          <c:x val="0.31659011373578305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Channel_Sales!$B$3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Channel_Sales!$A$4:$A$8</c:f>
              <c:strCache>
                <c:ptCount val="4"/>
                <c:pt idx="0">
                  <c:v>Convenience Store</c:v>
                </c:pt>
                <c:pt idx="1">
                  <c:v>Supermarket</c:v>
                </c:pt>
                <c:pt idx="2">
                  <c:v>Specialty Store</c:v>
                </c:pt>
                <c:pt idx="3">
                  <c:v>Online</c:v>
                </c:pt>
              </c:strCache>
            </c:strRef>
          </c:cat>
          <c:val>
            <c:numRef>
              <c:f>Channel_Sales!$B$4:$B$8</c:f>
              <c:numCache>
                <c:formatCode>General</c:formatCode>
                <c:ptCount val="4"/>
                <c:pt idx="0">
                  <c:v>15338</c:v>
                </c:pt>
                <c:pt idx="1">
                  <c:v>13148</c:v>
                </c:pt>
                <c:pt idx="2">
                  <c:v>12589</c:v>
                </c:pt>
                <c:pt idx="3">
                  <c:v>11394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6-47F1-BDE6-948283DF3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8880912"/>
        <c:axId val="1358884272"/>
      </c:barChart>
      <c:catAx>
        <c:axId val="135888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Sales_Channel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884272"/>
        <c:crosses val="autoZero"/>
        <c:auto val="1"/>
        <c:lblAlgn val="ctr"/>
        <c:lblOffset val="100"/>
        <c:noMultiLvlLbl val="0"/>
      </c:catAx>
      <c:valAx>
        <c:axId val="13588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Units_sold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88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[Chocolate_Project.xlsx]Transactions_Through_Payment Me!PivotTable4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Trnasactions</a:t>
            </a:r>
            <a:r>
              <a:rPr lang="en-US" baseline="0"/>
              <a:t> Through Types of Payment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'Transactions_Through_Payment Me'!$B$3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'Transactions_Through_Payment Me'!$A$4:$A$7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Digital Wallet</c:v>
                </c:pt>
              </c:strCache>
            </c:strRef>
          </c:cat>
          <c:val>
            <c:numRef>
              <c:f>'Transactions_Through_Payment Me'!$B$4:$B$7</c:f>
              <c:numCache>
                <c:formatCode>General</c:formatCode>
                <c:ptCount val="3"/>
                <c:pt idx="0">
                  <c:v>162</c:v>
                </c:pt>
                <c:pt idx="1">
                  <c:v>169</c:v>
                </c:pt>
                <c:pt idx="2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4-4C3E-A6CE-649FC8926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46644863"/>
        <c:axId val="1546638143"/>
      </c:barChart>
      <c:catAx>
        <c:axId val="154664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38143"/>
        <c:crosses val="autoZero"/>
        <c:auto val="1"/>
        <c:lblAlgn val="ctr"/>
        <c:lblOffset val="100"/>
        <c:noMultiLvlLbl val="0"/>
      </c:catAx>
      <c:valAx>
        <c:axId val="15466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No of transactions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4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[Chocolate_Project.xlsx]Revenue_From_Payment Methods!PivotTable5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'Revenue_From_Payment Methods'!$B$3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'Revenue_From_Payment Methods'!$A$4:$A$7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Digital Wallet</c:v>
                </c:pt>
              </c:strCache>
            </c:strRef>
          </c:cat>
          <c:val>
            <c:numRef>
              <c:f>'Revenue_From_Payment Methods'!$B$4:$B$7</c:f>
              <c:numCache>
                <c:formatCode>General</c:formatCode>
                <c:ptCount val="3"/>
                <c:pt idx="0">
                  <c:v>223658.83000000007</c:v>
                </c:pt>
                <c:pt idx="1">
                  <c:v>244688.25999999992</c:v>
                </c:pt>
                <c:pt idx="2">
                  <c:v>248348.48000000004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F-4D86-BEA3-B77493486A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17120367"/>
        <c:axId val="1417121807"/>
      </c:barChart>
      <c:catAx>
        <c:axId val="1417120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Payment</a:t>
                </a:r>
                <a:r>
                  <a:rPr lang="en-IN" baseline="0"/>
                  <a:t>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21807"/>
        <c:crosses val="autoZero"/>
        <c:auto val="1"/>
        <c:lblAlgn val="ctr"/>
        <c:lblOffset val="100"/>
        <c:noMultiLvlLbl val="0"/>
      </c:catAx>
      <c:valAx>
        <c:axId val="14171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[Chocolate_Project.xlsx]Bradnwise_Revenue!PivotTable6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Brandwise</a:t>
            </a:r>
            <a:r>
              <a:rPr lang="en-US" baseline="0"/>
              <a:t> Revenue</a:t>
            </a:r>
          </a:p>
        </c:rich>
      </c:tx>
      <c:layout>
        <c:manualLayout>
          <c:xMode val="edge"/>
          <c:yMode val="edge"/>
          <c:x val="0.33477359759863085"/>
          <c:y val="4.3824866545252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Bradnwise_Revenue!$B$3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Bradnwise_Revenue!$A$4:$A$11</c:f>
              <c:strCache>
                <c:ptCount val="7"/>
                <c:pt idx="0">
                  <c:v>Toblerone</c:v>
                </c:pt>
                <c:pt idx="1">
                  <c:v>Mars</c:v>
                </c:pt>
                <c:pt idx="2">
                  <c:v>Lindt</c:v>
                </c:pt>
                <c:pt idx="3">
                  <c:v>Nestle</c:v>
                </c:pt>
                <c:pt idx="4">
                  <c:v>Ferrero</c:v>
                </c:pt>
                <c:pt idx="5">
                  <c:v>Cadbury</c:v>
                </c:pt>
                <c:pt idx="6">
                  <c:v>Hershey</c:v>
                </c:pt>
              </c:strCache>
            </c:strRef>
          </c:cat>
          <c:val>
            <c:numRef>
              <c:f>Bradnwise_Revenue!$B$4:$B$11</c:f>
              <c:numCache>
                <c:formatCode>General</c:formatCode>
                <c:ptCount val="7"/>
                <c:pt idx="0">
                  <c:v>118291.29</c:v>
                </c:pt>
                <c:pt idx="1">
                  <c:v>115337.38999999996</c:v>
                </c:pt>
                <c:pt idx="2">
                  <c:v>106042.48</c:v>
                </c:pt>
                <c:pt idx="3">
                  <c:v>100439.80000000002</c:v>
                </c:pt>
                <c:pt idx="4">
                  <c:v>93826.159999999989</c:v>
                </c:pt>
                <c:pt idx="5">
                  <c:v>91669.719999999972</c:v>
                </c:pt>
                <c:pt idx="6">
                  <c:v>91088.73000000001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F-42D9-9E79-0088492B4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1927567"/>
        <c:axId val="1421926607"/>
      </c:barChart>
      <c:catAx>
        <c:axId val="1421927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Brand</a:t>
                </a:r>
                <a:r>
                  <a:rPr lang="en-IN" baseline="0"/>
                  <a:t>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926607"/>
        <c:crosses val="autoZero"/>
        <c:auto val="1"/>
        <c:lblAlgn val="ctr"/>
        <c:lblOffset val="100"/>
        <c:noMultiLvlLbl val="0"/>
      </c:catAx>
      <c:valAx>
        <c:axId val="142192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92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[Chocolate_Project.xlsx]Bradnwise_Revenue!PivotTable7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Bradnwise_Revenue!$B$25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8D-48CE-8F8A-1AFD68DA31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8D-48CE-8F8A-1AFD68DA31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8D-48CE-8F8A-1AFD68DA31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A8D-48CE-8F8A-1AFD68DA31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A8D-48CE-8F8A-1AFD68DA31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A8D-48CE-8F8A-1AFD68DA31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A8D-48CE-8F8A-1AFD68DA31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Bradnwise_Revenue!$A$26:$A$33</c:f>
              <c:strCache>
                <c:ptCount val="7"/>
                <c:pt idx="0">
                  <c:v>Toblerone</c:v>
                </c:pt>
                <c:pt idx="1">
                  <c:v>Mars</c:v>
                </c:pt>
                <c:pt idx="2">
                  <c:v>Lindt</c:v>
                </c:pt>
                <c:pt idx="3">
                  <c:v>Nestle</c:v>
                </c:pt>
                <c:pt idx="4">
                  <c:v>Ferrero</c:v>
                </c:pt>
                <c:pt idx="5">
                  <c:v>Cadbury</c:v>
                </c:pt>
                <c:pt idx="6">
                  <c:v>Hershey</c:v>
                </c:pt>
              </c:strCache>
            </c:strRef>
          </c:cat>
          <c:val>
            <c:numRef>
              <c:f>Bradnwise_Revenue!$B$26:$B$33</c:f>
              <c:numCache>
                <c:formatCode>0.00%</c:formatCode>
                <c:ptCount val="7"/>
                <c:pt idx="0">
                  <c:v>0.16505095740999209</c:v>
                </c:pt>
                <c:pt idx="1">
                  <c:v>0.16092940270301931</c:v>
                </c:pt>
                <c:pt idx="2">
                  <c:v>0.14796028389013205</c:v>
                </c:pt>
                <c:pt idx="3">
                  <c:v>0.14014290614353878</c:v>
                </c:pt>
                <c:pt idx="4">
                  <c:v>0.13091494342570026</c:v>
                </c:pt>
                <c:pt idx="5">
                  <c:v>0.12790607872740162</c:v>
                </c:pt>
                <c:pt idx="6">
                  <c:v>0.1270954277002159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1-46A0-8ECF-4ECC63303BE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[Chocolate_Project.xlsx]Productwise_Sales!PivotTable8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Type Revenue</a:t>
            </a:r>
          </a:p>
        </c:rich>
      </c:tx>
      <c:layout>
        <c:manualLayout>
          <c:xMode val="edge"/>
          <c:yMode val="edge"/>
          <c:x val="0.2785693350831146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Productwise_Sales!$B$3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Productwise_Sales!$A$4:$A$10</c:f>
              <c:strCache>
                <c:ptCount val="6"/>
                <c:pt idx="0">
                  <c:v>Chocolate Box</c:v>
                </c:pt>
                <c:pt idx="1">
                  <c:v>Milk Chocolate</c:v>
                </c:pt>
                <c:pt idx="2">
                  <c:v>Truffles</c:v>
                </c:pt>
                <c:pt idx="3">
                  <c:v>Chocolate Bar</c:v>
                </c:pt>
                <c:pt idx="4">
                  <c:v>Dark Chocolate</c:v>
                </c:pt>
                <c:pt idx="5">
                  <c:v>White Chocolate</c:v>
                </c:pt>
              </c:strCache>
            </c:strRef>
          </c:cat>
          <c:val>
            <c:numRef>
              <c:f>Productwise_Sales!$B$4:$B$10</c:f>
              <c:numCache>
                <c:formatCode>General</c:formatCode>
                <c:ptCount val="6"/>
                <c:pt idx="0">
                  <c:v>151378.86000000002</c:v>
                </c:pt>
                <c:pt idx="1">
                  <c:v>119985.57999999999</c:v>
                </c:pt>
                <c:pt idx="2">
                  <c:v>116117.81</c:v>
                </c:pt>
                <c:pt idx="3">
                  <c:v>114664.96999999994</c:v>
                </c:pt>
                <c:pt idx="4">
                  <c:v>108655.80000000002</c:v>
                </c:pt>
                <c:pt idx="5">
                  <c:v>105892.54999999996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0-497B-A799-645F171CB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9606159"/>
        <c:axId val="1609609039"/>
      </c:barChart>
      <c:catAx>
        <c:axId val="1609606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Types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9039"/>
        <c:crosses val="autoZero"/>
        <c:auto val="1"/>
        <c:lblAlgn val="ctr"/>
        <c:lblOffset val="100"/>
        <c:noMultiLvlLbl val="0"/>
      </c:catAx>
      <c:valAx>
        <c:axId val="160960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r>
                  <a:rPr lang="en-IN" baseline="0"/>
                  <a:t> Generated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[Chocolate_Project.xlsx]Productwise_Sales!PivotTable9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Productwise_Sales!$B$22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91-4B81-8018-B780A2A2956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91-4B81-8018-B780A2A2956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91-4B81-8018-B780A2A2956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691-4B81-8018-B780A2A2956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691-4B81-8018-B780A2A2956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691-4B81-8018-B780A2A29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Productwise_Sales!$A$23:$A$29</c:f>
              <c:strCache>
                <c:ptCount val="6"/>
                <c:pt idx="0">
                  <c:v>Chocolate Box</c:v>
                </c:pt>
                <c:pt idx="1">
                  <c:v>Milk Chocolate</c:v>
                </c:pt>
                <c:pt idx="2">
                  <c:v>Truffles</c:v>
                </c:pt>
                <c:pt idx="3">
                  <c:v>Chocolate Bar</c:v>
                </c:pt>
                <c:pt idx="4">
                  <c:v>Dark Chocolate</c:v>
                </c:pt>
                <c:pt idx="5">
                  <c:v>White Chocolate</c:v>
                </c:pt>
              </c:strCache>
            </c:strRef>
          </c:cat>
          <c:val>
            <c:numRef>
              <c:f>Productwise_Sales!$B$23:$B$29</c:f>
              <c:numCache>
                <c:formatCode>General</c:formatCode>
                <c:ptCount val="6"/>
                <c:pt idx="0">
                  <c:v>151378.86000000002</c:v>
                </c:pt>
                <c:pt idx="1">
                  <c:v>119985.57999999999</c:v>
                </c:pt>
                <c:pt idx="2">
                  <c:v>116117.81</c:v>
                </c:pt>
                <c:pt idx="3">
                  <c:v>114664.96999999994</c:v>
                </c:pt>
                <c:pt idx="4">
                  <c:v>108655.80000000002</c:v>
                </c:pt>
                <c:pt idx="5">
                  <c:v>105892.54999999996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A-463B-A1DF-719D25A25B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[Chocolate_Project.xlsx]ProductWise_Units_Sold!PivotTable10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Units Sold</a:t>
            </a:r>
            <a:endParaRPr lang="en-US"/>
          </a:p>
        </c:rich>
      </c:tx>
      <c:layout>
        <c:manualLayout>
          <c:xMode val="edge"/>
          <c:yMode val="edge"/>
          <c:x val="0.24579855643044621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ProductWise_Units_Sold!$B$3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ProductWise_Units_Sold!$A$4:$A$10</c:f>
              <c:strCache>
                <c:ptCount val="6"/>
                <c:pt idx="0">
                  <c:v>Chocolate Box</c:v>
                </c:pt>
                <c:pt idx="1">
                  <c:v>Milk Chocolate</c:v>
                </c:pt>
                <c:pt idx="2">
                  <c:v>Chocolate Bar</c:v>
                </c:pt>
                <c:pt idx="3">
                  <c:v>Truffles</c:v>
                </c:pt>
                <c:pt idx="4">
                  <c:v>White Chocolate</c:v>
                </c:pt>
                <c:pt idx="5">
                  <c:v>Dark Chocolate</c:v>
                </c:pt>
              </c:strCache>
            </c:strRef>
          </c:cat>
          <c:val>
            <c:numRef>
              <c:f>ProductWise_Units_Sold!$B$4:$B$10</c:f>
              <c:numCache>
                <c:formatCode>General</c:formatCode>
                <c:ptCount val="6"/>
                <c:pt idx="0">
                  <c:v>10291</c:v>
                </c:pt>
                <c:pt idx="1">
                  <c:v>9371</c:v>
                </c:pt>
                <c:pt idx="2">
                  <c:v>8754</c:v>
                </c:pt>
                <c:pt idx="3">
                  <c:v>8550</c:v>
                </c:pt>
                <c:pt idx="4">
                  <c:v>7763</c:v>
                </c:pt>
                <c:pt idx="5">
                  <c:v>7740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8-4004-BE94-974D92E3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9604719"/>
        <c:axId val="1609609999"/>
      </c:barChart>
      <c:catAx>
        <c:axId val="160960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Type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9999"/>
        <c:crosses val="autoZero"/>
        <c:auto val="1"/>
        <c:lblAlgn val="ctr"/>
        <c:lblOffset val="100"/>
        <c:noMultiLvlLbl val="0"/>
      </c:catAx>
      <c:valAx>
        <c:axId val="16096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iUnits</a:t>
                </a:r>
                <a:r>
                  <a:rPr lang="en-IN" baseline="0"/>
                  <a:t> Sold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[Chocolate_Project.xlsx]ProductWise_Units_Sold!PivotTable11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Type Units</a:t>
            </a:r>
            <a:r>
              <a:rPr lang="en-US" baseline="0"/>
              <a:t> Sold</a:t>
            </a:r>
            <a:endParaRPr lang="en-US"/>
          </a:p>
        </c:rich>
      </c:tx>
      <c:layout>
        <c:manualLayout>
          <c:xMode val="edge"/>
          <c:yMode val="edge"/>
          <c:x val="0.26247222222222222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ProductWise_Units_Sold!$B$23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93-43DD-BC2C-FC40DA8A5E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93-43DD-BC2C-FC40DA8A5E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93-43DD-BC2C-FC40DA8A5E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93-43DD-BC2C-FC40DA8A5E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93-43DD-BC2C-FC40DA8A5E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D93-43DD-BC2C-FC40DA8A5EA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ProductWise_Units_Sold!$A$24:$A$30</c:f>
              <c:strCache>
                <c:ptCount val="6"/>
                <c:pt idx="0">
                  <c:v>Chocolate Box</c:v>
                </c:pt>
                <c:pt idx="1">
                  <c:v>Milk Chocolate</c:v>
                </c:pt>
                <c:pt idx="2">
                  <c:v>Chocolate Bar</c:v>
                </c:pt>
                <c:pt idx="3">
                  <c:v>Truffles</c:v>
                </c:pt>
                <c:pt idx="4">
                  <c:v>White Chocolate</c:v>
                </c:pt>
                <c:pt idx="5">
                  <c:v>Dark Chocolate</c:v>
                </c:pt>
              </c:strCache>
            </c:strRef>
          </c:cat>
          <c:val>
            <c:numRef>
              <c:f>ProductWise_Units_Sold!$B$24:$B$30</c:f>
              <c:numCache>
                <c:formatCode>General</c:formatCode>
                <c:ptCount val="6"/>
                <c:pt idx="0">
                  <c:v>10291</c:v>
                </c:pt>
                <c:pt idx="1">
                  <c:v>9371</c:v>
                </c:pt>
                <c:pt idx="2">
                  <c:v>8754</c:v>
                </c:pt>
                <c:pt idx="3">
                  <c:v>8550</c:v>
                </c:pt>
                <c:pt idx="4">
                  <c:v>7763</c:v>
                </c:pt>
                <c:pt idx="5">
                  <c:v>7740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D-40AF-90CA-07390086807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514348</xdr:colOff>
      <xdr:row>7</xdr:row>
      <xdr:rowOff>133350</xdr:rowOff>
    </xdr:from>
    <xdr:to>
      <xdr:col>16</xdr:col>
      <xdr:colOff>66674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48D2B9-8F32-484A-80D7-2B3DDFC5F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352425</xdr:colOff>
      <xdr:row>7</xdr:row>
      <xdr:rowOff>114300</xdr:rowOff>
    </xdr:from>
    <xdr:to>
      <xdr:col>10</xdr:col>
      <xdr:colOff>57150</xdr:colOff>
      <xdr:row>18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97AD72-32FB-41B6-96EA-061E71A6B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276225</xdr:colOff>
      <xdr:row>37</xdr:row>
      <xdr:rowOff>142875</xdr:rowOff>
    </xdr:from>
    <xdr:to>
      <xdr:col>10</xdr:col>
      <xdr:colOff>581025</xdr:colOff>
      <xdr:row>52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4EAE03-B71A-44B9-B6F7-B6CB2A116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352425</xdr:colOff>
      <xdr:row>19</xdr:row>
      <xdr:rowOff>47625</xdr:rowOff>
    </xdr:from>
    <xdr:to>
      <xdr:col>10</xdr:col>
      <xdr:colOff>57150</xdr:colOff>
      <xdr:row>31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FF176-47FD-4A4C-88D5-E7F776EAC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504825</xdr:colOff>
      <xdr:row>19</xdr:row>
      <xdr:rowOff>57150</xdr:rowOff>
    </xdr:from>
    <xdr:to>
      <xdr:col>16</xdr:col>
      <xdr:colOff>133350</xdr:colOff>
      <xdr:row>31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F88169-1F97-4855-8F5C-BA16433AF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166687</xdr:rowOff>
    </xdr:from>
    <xdr:to>
      <xdr:col>10</xdr:col>
      <xdr:colOff>390525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44A18-FE42-2711-44AB-583BA44FC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100011</xdr:rowOff>
    </xdr:from>
    <xdr:to>
      <xdr:col>7</xdr:col>
      <xdr:colOff>238125</xdr:colOff>
      <xdr:row>18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7CE74D-F00A-BE20-8AA9-4A4D84414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157162</xdr:rowOff>
    </xdr:from>
    <xdr:to>
      <xdr:col>11</xdr:col>
      <xdr:colOff>447674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24216-C81A-2009-D3C2-2D094FCB6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61912</xdr:rowOff>
    </xdr:from>
    <xdr:to>
      <xdr:col>10</xdr:col>
      <xdr:colOff>114300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B5C14-4534-CE6C-A83E-C1F1FBE93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1</xdr:row>
      <xdr:rowOff>119062</xdr:rowOff>
    </xdr:from>
    <xdr:to>
      <xdr:col>12</xdr:col>
      <xdr:colOff>190500</xdr:colOff>
      <xdr:row>18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4A4631-3F1D-48B4-01DD-3001B011C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21</xdr:row>
      <xdr:rowOff>119062</xdr:rowOff>
    </xdr:from>
    <xdr:to>
      <xdr:col>10</xdr:col>
      <xdr:colOff>190500</xdr:colOff>
      <xdr:row>36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92B966-4A2F-A136-24B6-59BDF9B26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176212</xdr:rowOff>
    </xdr:from>
    <xdr:to>
      <xdr:col>10</xdr:col>
      <xdr:colOff>447675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B9720-8998-8247-BFE5-81E9D7FE8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295275</xdr:colOff>
      <xdr:row>17</xdr:row>
      <xdr:rowOff>166687</xdr:rowOff>
    </xdr:from>
    <xdr:to>
      <xdr:col>10</xdr:col>
      <xdr:colOff>600075</xdr:colOff>
      <xdr:row>32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798EE-85C2-13D6-01D1-644FC75EB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447674</xdr:colOff>
      <xdr:row>0</xdr:row>
      <xdr:rowOff>147636</xdr:rowOff>
    </xdr:from>
    <xdr:to>
      <xdr:col>11</xdr:col>
      <xdr:colOff>380999</xdr:colOff>
      <xdr:row>18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7A487-C1D1-F7F4-6E46-E6B6F1FBC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423862</xdr:colOff>
      <xdr:row>19</xdr:row>
      <xdr:rowOff>185737</xdr:rowOff>
    </xdr:from>
    <xdr:to>
      <xdr:col>11</xdr:col>
      <xdr:colOff>119062</xdr:colOff>
      <xdr:row>34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77821-069D-46CD-2164-01092851E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0.553338310187" createdVersion="8" refreshedVersion="8" minRefreshableVersion="3" recordCount="500" xr:uid="{6BCCAE0B-6AA5-47BA-ACC9-0E812E5B17F9}">
  <cacheSource type="worksheet">
    <worksheetSource name="chocolate_sales_2025_dataset"/>
  </cacheSource>
  <cacheFields count="12">
    <cacheField name="Sale_ID" numFmtId="0">
      <sharedItems containsSemiMixedTypes="0" containsString="0" containsNumber="1" containsInteger="1" minValue="1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Date" numFmtId="14">
      <sharedItems containsSemiMixedTypes="0" containsNonDate="0" containsDate="1" containsString="0" minDate="2025-01-01T00:00:00" maxDate="2026-01-01T00:00:00" count="274">
        <d v="2025-11-24T00:00:00"/>
        <d v="2025-02-22T00:00:00"/>
        <d v="2025-02-17T00:00:00"/>
        <d v="2025-11-29T00:00:00"/>
        <d v="2025-03-23T00:00:00"/>
        <d v="2025-08-24T00:00:00"/>
        <d v="2025-04-09T00:00:00"/>
        <d v="2025-02-21T00:00:00"/>
        <d v="2025-04-18T00:00:00"/>
        <d v="2025-05-06T00:00:00"/>
        <d v="2025-06-16T00:00:00"/>
        <d v="2025-02-03T00:00:00"/>
        <d v="2025-11-26T00:00:00"/>
        <d v="2025-10-27T00:00:00"/>
        <d v="2025-09-10T00:00:00"/>
        <d v="2025-08-05T00:00:00"/>
        <d v="2025-01-06T00:00:00"/>
        <d v="2025-05-31T00:00:00"/>
        <d v="2025-02-24T00:00:00"/>
        <d v="2025-07-11T00:00:00"/>
        <d v="2025-01-10T00:00:00"/>
        <d v="2025-10-18T00:00:00"/>
        <d v="2025-12-04T00:00:00"/>
        <d v="2025-10-04T00:00:00"/>
        <d v="2025-06-23T00:00:00"/>
        <d v="2025-12-29T00:00:00"/>
        <d v="2025-05-02T00:00:00"/>
        <d v="2025-08-31T00:00:00"/>
        <d v="2025-07-30T00:00:00"/>
        <d v="2025-11-30T00:00:00"/>
        <d v="2025-09-04T00:00:00"/>
        <d v="2025-05-16T00:00:00"/>
        <d v="2025-04-08T00:00:00"/>
        <d v="2025-06-10T00:00:00"/>
        <d v="2025-09-18T00:00:00"/>
        <d v="2025-03-03T00:00:00"/>
        <d v="2025-02-11T00:00:00"/>
        <d v="2025-12-09T00:00:00"/>
        <d v="2025-06-11T00:00:00"/>
        <d v="2025-10-03T00:00:00"/>
        <d v="2025-05-26T00:00:00"/>
        <d v="2025-10-11T00:00:00"/>
        <d v="2025-11-21T00:00:00"/>
        <d v="2025-08-15T00:00:00"/>
        <d v="2025-03-18T00:00:00"/>
        <d v="2025-01-22T00:00:00"/>
        <d v="2025-10-14T00:00:00"/>
        <d v="2025-04-01T00:00:00"/>
        <d v="2025-05-08T00:00:00"/>
        <d v="2025-04-13T00:00:00"/>
        <d v="2025-10-25T00:00:00"/>
        <d v="2025-01-23T00:00:00"/>
        <d v="2025-02-05T00:00:00"/>
        <d v="2025-06-08T00:00:00"/>
        <d v="2025-08-04T00:00:00"/>
        <d v="2025-10-08T00:00:00"/>
        <d v="2025-09-21T00:00:00"/>
        <d v="2025-04-12T00:00:00"/>
        <d v="2025-08-01T00:00:00"/>
        <d v="2025-05-05T00:00:00"/>
        <d v="2025-12-23T00:00:00"/>
        <d v="2025-08-26T00:00:00"/>
        <d v="2025-08-17T00:00:00"/>
        <d v="2025-11-23T00:00:00"/>
        <d v="2025-02-09T00:00:00"/>
        <d v="2025-03-19T00:00:00"/>
        <d v="2025-07-28T00:00:00"/>
        <d v="2025-06-30T00:00:00"/>
        <d v="2025-04-23T00:00:00"/>
        <d v="2025-03-26T00:00:00"/>
        <d v="2025-10-16T00:00:00"/>
        <d v="2025-01-26T00:00:00"/>
        <d v="2025-05-23T00:00:00"/>
        <d v="2025-05-07T00:00:00"/>
        <d v="2025-11-07T00:00:00"/>
        <d v="2025-10-24T00:00:00"/>
        <d v="2025-06-04T00:00:00"/>
        <d v="2025-09-30T00:00:00"/>
        <d v="2025-09-08T00:00:00"/>
        <d v="2025-09-25T00:00:00"/>
        <d v="2025-10-31T00:00:00"/>
        <d v="2025-04-04T00:00:00"/>
        <d v="2025-12-26T00:00:00"/>
        <d v="2025-01-09T00:00:00"/>
        <d v="2025-09-05T00:00:00"/>
        <d v="2025-04-10T00:00:00"/>
        <d v="2025-01-24T00:00:00"/>
        <d v="2025-01-07T00:00:00"/>
        <d v="2025-05-10T00:00:00"/>
        <d v="2025-10-23T00:00:00"/>
        <d v="2025-07-14T00:00:00"/>
        <d v="2025-11-14T00:00:00"/>
        <d v="2025-08-19T00:00:00"/>
        <d v="2025-05-25T00:00:00"/>
        <d v="2025-10-29T00:00:00"/>
        <d v="2025-10-19T00:00:00"/>
        <d v="2025-09-14T00:00:00"/>
        <d v="2025-06-15T00:00:00"/>
        <d v="2025-05-18T00:00:00"/>
        <d v="2025-04-03T00:00:00"/>
        <d v="2025-07-29T00:00:00"/>
        <d v="2025-09-11T00:00:00"/>
        <d v="2025-10-05T00:00:00"/>
        <d v="2025-12-24T00:00:00"/>
        <d v="2025-10-10T00:00:00"/>
        <d v="2025-11-28T00:00:00"/>
        <d v="2025-11-03T00:00:00"/>
        <d v="2025-09-17T00:00:00"/>
        <d v="2025-06-14T00:00:00"/>
        <d v="2025-01-19T00:00:00"/>
        <d v="2025-08-22T00:00:00"/>
        <d v="2025-10-01T00:00:00"/>
        <d v="2025-09-29T00:00:00"/>
        <d v="2025-11-09T00:00:00"/>
        <d v="2025-08-25T00:00:00"/>
        <d v="2025-12-13T00:00:00"/>
        <d v="2025-08-06T00:00:00"/>
        <d v="2025-04-28T00:00:00"/>
        <d v="2025-01-18T00:00:00"/>
        <d v="2025-05-12T00:00:00"/>
        <d v="2025-02-08T00:00:00"/>
        <d v="2025-07-22T00:00:00"/>
        <d v="2025-07-15T00:00:00"/>
        <d v="2025-01-20T00:00:00"/>
        <d v="2025-08-21T00:00:00"/>
        <d v="2025-12-02T00:00:00"/>
        <d v="2025-07-09T00:00:00"/>
        <d v="2025-11-27T00:00:00"/>
        <d v="2025-12-06T00:00:00"/>
        <d v="2025-03-06T00:00:00"/>
        <d v="2025-06-18T00:00:00"/>
        <d v="2025-05-09T00:00:00"/>
        <d v="2025-12-31T00:00:00"/>
        <d v="2025-07-31T00:00:00"/>
        <d v="2025-02-13T00:00:00"/>
        <d v="2025-01-31T00:00:00"/>
        <d v="2025-12-07T00:00:00"/>
        <d v="2025-06-09T00:00:00"/>
        <d v="2025-02-25T00:00:00"/>
        <d v="2025-10-15T00:00:00"/>
        <d v="2025-12-03T00:00:00"/>
        <d v="2025-06-29T00:00:00"/>
        <d v="2025-03-21T00:00:00"/>
        <d v="2025-12-05T00:00:00"/>
        <d v="2025-02-28T00:00:00"/>
        <d v="2025-12-08T00:00:00"/>
        <d v="2025-01-04T00:00:00"/>
        <d v="2025-03-28T00:00:00"/>
        <d v="2025-01-29T00:00:00"/>
        <d v="2025-07-08T00:00:00"/>
        <d v="2025-11-06T00:00:00"/>
        <d v="2025-12-14T00:00:00"/>
        <d v="2025-10-13T00:00:00"/>
        <d v="2025-07-05T00:00:00"/>
        <d v="2025-04-26T00:00:00"/>
        <d v="2025-06-22T00:00:00"/>
        <d v="2025-07-06T00:00:00"/>
        <d v="2025-03-12T00:00:00"/>
        <d v="2025-09-22T00:00:00"/>
        <d v="2025-03-17T00:00:00"/>
        <d v="2025-01-28T00:00:00"/>
        <d v="2025-01-15T00:00:00"/>
        <d v="2025-01-03T00:00:00"/>
        <d v="2025-05-28T00:00:00"/>
        <d v="2025-02-26T00:00:00"/>
        <d v="2025-03-15T00:00:00"/>
        <d v="2025-08-29T00:00:00"/>
        <d v="2025-06-26T00:00:00"/>
        <d v="2025-09-03T00:00:00"/>
        <d v="2025-04-14T00:00:00"/>
        <d v="2025-08-14T00:00:00"/>
        <d v="2025-09-23T00:00:00"/>
        <d v="2025-12-10T00:00:00"/>
        <d v="2025-11-08T00:00:00"/>
        <d v="2025-07-07T00:00:00"/>
        <d v="2025-07-10T00:00:00"/>
        <d v="2025-07-18T00:00:00"/>
        <d v="2025-05-27T00:00:00"/>
        <d v="2025-03-30T00:00:00"/>
        <d v="2025-04-25T00:00:00"/>
        <d v="2025-07-04T00:00:00"/>
        <d v="2025-10-22T00:00:00"/>
        <d v="2025-09-15T00:00:00"/>
        <d v="2025-11-25T00:00:00"/>
        <d v="2025-10-07T00:00:00"/>
        <d v="2025-02-07T00:00:00"/>
        <d v="2025-06-24T00:00:00"/>
        <d v="2025-03-08T00:00:00"/>
        <d v="2025-03-04T00:00:00"/>
        <d v="2025-11-12T00:00:00"/>
        <d v="2025-02-16T00:00:00"/>
        <d v="2025-01-05T00:00:00"/>
        <d v="2025-07-17T00:00:00"/>
        <d v="2025-02-19T00:00:00"/>
        <d v="2025-07-21T00:00:00"/>
        <d v="2025-06-19T00:00:00"/>
        <d v="2025-09-26T00:00:00"/>
        <d v="2025-10-21T00:00:00"/>
        <d v="2025-02-01T00:00:00"/>
        <d v="2025-07-12T00:00:00"/>
        <d v="2025-12-15T00:00:00"/>
        <d v="2025-03-22T00:00:00"/>
        <d v="2025-08-02T00:00:00"/>
        <d v="2025-05-29T00:00:00"/>
        <d v="2025-08-28T00:00:00"/>
        <d v="2025-04-06T00:00:00"/>
        <d v="2025-07-25T00:00:00"/>
        <d v="2025-05-14T00:00:00"/>
        <d v="2025-03-02T00:00:00"/>
        <d v="2025-09-02T00:00:00"/>
        <d v="2025-09-16T00:00:00"/>
        <d v="2025-06-07T00:00:00"/>
        <d v="2025-08-18T00:00:00"/>
        <d v="2025-06-28T00:00:00"/>
        <d v="2025-01-12T00:00:00"/>
        <d v="2025-02-27T00:00:00"/>
        <d v="2025-02-04T00:00:00"/>
        <d v="2025-06-03T00:00:00"/>
        <d v="2025-02-10T00:00:00"/>
        <d v="2025-07-13T00:00:00"/>
        <d v="2025-04-17T00:00:00"/>
        <d v="2025-05-03T00:00:00"/>
        <d v="2025-09-07T00:00:00"/>
        <d v="2025-05-21T00:00:00"/>
        <d v="2025-05-17T00:00:00"/>
        <d v="2025-09-13T00:00:00"/>
        <d v="2025-12-17T00:00:00"/>
        <d v="2025-03-25T00:00:00"/>
        <d v="2025-03-13T00:00:00"/>
        <d v="2025-02-20T00:00:00"/>
        <d v="2025-01-16T00:00:00"/>
        <d v="2025-03-09T00:00:00"/>
        <d v="2025-01-14T00:00:00"/>
        <d v="2025-09-24T00:00:00"/>
        <d v="2025-12-22T00:00:00"/>
        <d v="2025-10-09T00:00:00"/>
        <d v="2025-12-21T00:00:00"/>
        <d v="2025-08-09T00:00:00"/>
        <d v="2025-01-13T00:00:00"/>
        <d v="2025-08-13T00:00:00"/>
        <d v="2025-03-31T00:00:00"/>
        <d v="2025-11-19T00:00:00"/>
        <d v="2025-11-11T00:00:00"/>
        <d v="2025-04-20T00:00:00"/>
        <d v="2025-03-10T00:00:00"/>
        <d v="2025-03-14T00:00:00"/>
        <d v="2025-10-17T00:00:00"/>
        <d v="2025-05-24T00:00:00"/>
        <d v="2025-05-22T00:00:00"/>
        <d v="2025-06-17T00:00:00"/>
        <d v="2025-01-25T00:00:00"/>
        <d v="2025-02-18T00:00:00"/>
        <d v="2025-07-20T00:00:00"/>
        <d v="2025-05-04T00:00:00"/>
        <d v="2025-07-23T00:00:00"/>
        <d v="2025-10-28T00:00:00"/>
        <d v="2025-08-12T00:00:00"/>
        <d v="2025-05-20T00:00:00"/>
        <d v="2025-09-19T00:00:00"/>
        <d v="2025-05-11T00:00:00"/>
        <d v="2025-01-01T00:00:00"/>
        <d v="2025-08-20T00:00:00"/>
        <d v="2025-06-05T00:00:00"/>
        <d v="2025-06-01T00:00:00"/>
        <d v="2025-07-03T00:00:00"/>
        <d v="2025-05-19T00:00:00"/>
        <d v="2025-08-30T00:00:00"/>
        <d v="2025-12-25T00:00:00"/>
        <d v="2025-09-27T00:00:00"/>
        <d v="2025-01-17T00:00:00"/>
        <d v="2025-02-15T00:00:00"/>
        <d v="2025-11-01T00:00:00"/>
        <d v="2025-08-11T00:00:00"/>
        <d v="2025-01-02T00:00:00"/>
      </sharedItems>
      <fieldGroup par="11"/>
    </cacheField>
    <cacheField name="Brand" numFmtId="0">
      <sharedItems count="7">
        <s v="Cadbury"/>
        <s v="Lindt"/>
        <s v="Toblerone"/>
        <s v="Ferrero"/>
        <s v="Nestle"/>
        <s v="Mars"/>
        <s v="Hershey"/>
      </sharedItems>
    </cacheField>
    <cacheField name="Product_Type" numFmtId="0">
      <sharedItems count="6">
        <s v="Milk Chocolate"/>
        <s v="Chocolate Bar"/>
        <s v="Dark Chocolate"/>
        <s v="Truffles"/>
        <s v="White Chocolate"/>
        <s v="Chocolate Box"/>
      </sharedItems>
    </cacheField>
    <cacheField name="Country" numFmtId="0">
      <sharedItems count="10">
        <s v="France"/>
        <s v="India"/>
        <s v="Australia"/>
        <s v="Italy"/>
        <s v="UAE"/>
        <s v="Germany"/>
        <s v="UK"/>
        <s v="Saudi Arabia"/>
        <s v="Canada"/>
        <s v="USA"/>
      </sharedItems>
    </cacheField>
    <cacheField name="Sales_Channel" numFmtId="0">
      <sharedItems count="4">
        <s v="Supermarket"/>
        <s v="Online"/>
        <s v="Convenience Store"/>
        <s v="Specialty Store"/>
      </sharedItems>
    </cacheField>
    <cacheField name="Payment_Method" numFmtId="0">
      <sharedItems count="3">
        <s v="Digital Wallet"/>
        <s v="Cash"/>
        <s v="Card"/>
      </sharedItems>
    </cacheField>
    <cacheField name="Price_USD" numFmtId="0">
      <sharedItems containsSemiMixedTypes="0" containsString="0" containsNumber="1" minValue="2.52" maxValue="25" count="452">
        <n v="5"/>
        <n v="17.73"/>
        <n v="7.42"/>
        <n v="18.28"/>
        <n v="18.21"/>
        <n v="11.05"/>
        <n v="14.57"/>
        <n v="18.350000000000001"/>
        <n v="17.579999999999998"/>
        <n v="6.18"/>
        <n v="21.46"/>
        <n v="7.25"/>
        <n v="12.82"/>
        <n v="12.14"/>
        <n v="4.55"/>
        <n v="15.92"/>
        <n v="17.809999999999999"/>
        <n v="12.28"/>
        <n v="22.09"/>
        <n v="19.66"/>
        <n v="5.0199999999999996"/>
        <n v="23.81"/>
        <n v="13.19"/>
        <n v="19.489999999999998"/>
        <n v="10.9"/>
        <n v="2.97"/>
        <n v="16.7"/>
        <n v="8.77"/>
        <n v="20.67"/>
        <n v="13.01"/>
        <n v="20.51"/>
        <n v="6.63"/>
        <n v="24.98"/>
        <n v="7.31"/>
        <n v="23.35"/>
        <n v="9.18"/>
        <n v="3.79"/>
        <n v="4.3"/>
        <n v="23.69"/>
        <n v="11.93"/>
        <n v="18.61"/>
        <n v="23.4"/>
        <n v="7.3"/>
        <n v="6.05"/>
        <n v="9.24"/>
        <n v="6"/>
        <n v="21.69"/>
        <n v="21.16"/>
        <n v="14.91"/>
        <n v="14.78"/>
        <n v="9.44"/>
        <n v="22.39"/>
        <n v="22.33"/>
        <n v="8.5"/>
        <n v="20.87"/>
        <n v="6.85"/>
        <n v="11.49"/>
        <n v="24.16"/>
        <n v="12.32"/>
        <n v="18.45"/>
        <n v="23.85"/>
        <n v="17.510000000000002"/>
        <n v="17.46"/>
        <n v="21.26"/>
        <n v="12.45"/>
        <n v="17.440000000000001"/>
        <n v="5.82"/>
        <n v="22.44"/>
        <n v="14.15"/>
        <n v="17.52"/>
        <n v="22.69"/>
        <n v="8.74"/>
        <n v="18.55"/>
        <n v="7.7"/>
        <n v="9.94"/>
        <n v="23.79"/>
        <n v="9.2200000000000006"/>
        <n v="8.64"/>
        <n v="21.41"/>
        <n v="17.420000000000002"/>
        <n v="8.35"/>
        <n v="19.420000000000002"/>
        <n v="3.67"/>
        <n v="6.99"/>
        <n v="5.07"/>
        <n v="16.16"/>
        <n v="3.08"/>
        <n v="4.21"/>
        <n v="21.63"/>
        <n v="4.87"/>
        <n v="24.22"/>
        <n v="8.5399999999999991"/>
        <n v="15.32"/>
        <n v="13.47"/>
        <n v="22.3"/>
        <n v="13.49"/>
        <n v="4.59"/>
        <n v="10.8"/>
        <n v="12.71"/>
        <n v="19.21"/>
        <n v="8.7200000000000006"/>
        <n v="9.17"/>
        <n v="24.42"/>
        <n v="15.42"/>
        <n v="23.67"/>
        <n v="16.66"/>
        <n v="5.17"/>
        <n v="12.64"/>
        <n v="3.86"/>
        <n v="6.03"/>
        <n v="18.010000000000002"/>
        <n v="18.32"/>
        <n v="17.38"/>
        <n v="22.94"/>
        <n v="23.23"/>
        <n v="14.65"/>
        <n v="16.079999999999998"/>
        <n v="15.47"/>
        <n v="24.93"/>
        <n v="10"/>
        <n v="8.98"/>
        <n v="8.18"/>
        <n v="12.89"/>
        <n v="19.600000000000001"/>
        <n v="13.41"/>
        <n v="2.81"/>
        <n v="21.22"/>
        <n v="24.56"/>
        <n v="13.94"/>
        <n v="8.51"/>
        <n v="14.62"/>
        <n v="22.07"/>
        <n v="9.66"/>
        <n v="5.34"/>
        <n v="2.85"/>
        <n v="10.119999999999999"/>
        <n v="7.78"/>
        <n v="18.34"/>
        <n v="20.41"/>
        <n v="11.77"/>
        <n v="16.850000000000001"/>
        <n v="14.8"/>
        <n v="18.03"/>
        <n v="7.84"/>
        <n v="11.41"/>
        <n v="17.82"/>
        <n v="15.54"/>
        <n v="6.45"/>
        <n v="23.07"/>
        <n v="5.67"/>
        <n v="21"/>
        <n v="22.4"/>
        <n v="22.96"/>
        <n v="9.35"/>
        <n v="10.85"/>
        <n v="4.7300000000000004"/>
        <n v="7.39"/>
        <n v="10.57"/>
        <n v="7.27"/>
        <n v="20.21"/>
        <n v="19.920000000000002"/>
        <n v="20.47"/>
        <n v="15.75"/>
        <n v="14.34"/>
        <n v="4.95"/>
        <n v="24.19"/>
        <n v="22.97"/>
        <n v="8.69"/>
        <n v="9.14"/>
        <n v="22.25"/>
        <n v="10.130000000000001"/>
        <n v="4.5999999999999996"/>
        <n v="15.7"/>
        <n v="23.68"/>
        <n v="10.41"/>
        <n v="10.38"/>
        <n v="24.43"/>
        <n v="2.64"/>
        <n v="24.37"/>
        <n v="10.17"/>
        <n v="6.04"/>
        <n v="12.04"/>
        <n v="10.27"/>
        <n v="23.77"/>
        <n v="13.69"/>
        <n v="21.25"/>
        <n v="11.9"/>
        <n v="11.51"/>
        <n v="4.22"/>
        <n v="18.87"/>
        <n v="6.94"/>
        <n v="12.94"/>
        <n v="5.9"/>
        <n v="10.42"/>
        <n v="21.21"/>
        <n v="14.97"/>
        <n v="13.2"/>
        <n v="13.85"/>
        <n v="16.22"/>
        <n v="15.95"/>
        <n v="17.760000000000002"/>
        <n v="15.61"/>
        <n v="23.61"/>
        <n v="21.15"/>
        <n v="2.91"/>
        <n v="25"/>
        <n v="22.22"/>
        <n v="17.72"/>
        <n v="7.88"/>
        <n v="20.010000000000002"/>
        <n v="22.14"/>
        <n v="21.65"/>
        <n v="21.2"/>
        <n v="11.42"/>
        <n v="9.67"/>
        <n v="8.9499999999999993"/>
        <n v="22.88"/>
        <n v="7.85"/>
        <n v="21.33"/>
        <n v="9.0500000000000007"/>
        <n v="17.53"/>
        <n v="3.48"/>
        <n v="7.93"/>
        <n v="10.43"/>
        <n v="16.71"/>
        <n v="3.49"/>
        <n v="8.1999999999999993"/>
        <n v="9.9700000000000006"/>
        <n v="22.63"/>
        <n v="14.77"/>
        <n v="16.059999999999999"/>
        <n v="18.850000000000001"/>
        <n v="16.84"/>
        <n v="10.65"/>
        <n v="12.49"/>
        <n v="17.12"/>
        <n v="23.05"/>
        <n v="18.11"/>
        <n v="22.72"/>
        <n v="14.87"/>
        <n v="5.23"/>
        <n v="11.46"/>
        <n v="4.16"/>
        <n v="10.25"/>
        <n v="22.99"/>
        <n v="6.14"/>
        <n v="6.92"/>
        <n v="6.29"/>
        <n v="21.07"/>
        <n v="19.760000000000002"/>
        <n v="9.02"/>
        <n v="17.989999999999998"/>
        <n v="16.149999999999999"/>
        <n v="19.61"/>
        <n v="8.52"/>
        <n v="11.91"/>
        <n v="13.71"/>
        <n v="8.83"/>
        <n v="21.56"/>
        <n v="11.36"/>
        <n v="11.53"/>
        <n v="12.78"/>
        <n v="24.79"/>
        <n v="14.48"/>
        <n v="17.66"/>
        <n v="20.12"/>
        <n v="16.649999999999999"/>
        <n v="23.83"/>
        <n v="11.79"/>
        <n v="18.38"/>
        <n v="9.56"/>
        <n v="16.97"/>
        <n v="15.06"/>
        <n v="10.35"/>
        <n v="23.98"/>
        <n v="17.260000000000002"/>
        <n v="8.61"/>
        <n v="17.57"/>
        <n v="9.93"/>
        <n v="11.66"/>
        <n v="17.03"/>
        <n v="22.35"/>
        <n v="22.23"/>
        <n v="12.72"/>
        <n v="2.82"/>
        <n v="21.76"/>
        <n v="17.559999999999999"/>
        <n v="11.13"/>
        <n v="2.76"/>
        <n v="12.97"/>
        <n v="16.87"/>
        <n v="5.95"/>
        <n v="21.08"/>
        <n v="14.38"/>
        <n v="7.05"/>
        <n v="7.12"/>
        <n v="5.47"/>
        <n v="18.77"/>
        <n v="11.7"/>
        <n v="24.52"/>
        <n v="21.03"/>
        <n v="3.22"/>
        <n v="4.7699999999999996"/>
        <n v="11.55"/>
        <n v="7.77"/>
        <n v="15.03"/>
        <n v="9.25"/>
        <n v="21.79"/>
        <n v="14.42"/>
        <n v="23.25"/>
        <n v="22.06"/>
        <n v="19.3"/>
        <n v="14.92"/>
        <n v="10.59"/>
        <n v="9.5399999999999991"/>
        <n v="23.53"/>
        <n v="7.68"/>
        <n v="24.25"/>
        <n v="6.31"/>
        <n v="21.38"/>
        <n v="12.76"/>
        <n v="14.55"/>
        <n v="14.3"/>
        <n v="20.39"/>
        <n v="10.99"/>
        <n v="21.52"/>
        <n v="7.67"/>
        <n v="23.33"/>
        <n v="24.13"/>
        <n v="15.19"/>
        <n v="20.29"/>
        <n v="12.33"/>
        <n v="16.77"/>
        <n v="17.79"/>
        <n v="4.3499999999999996"/>
        <n v="4.9000000000000004"/>
        <n v="4.46"/>
        <n v="4.5199999999999996"/>
        <n v="9.07"/>
        <n v="6.32"/>
        <n v="5.78"/>
        <n v="10.63"/>
        <n v="5.55"/>
        <n v="10.029999999999999"/>
        <n v="7.02"/>
        <n v="16.739999999999998"/>
        <n v="10.71"/>
        <n v="3.11"/>
        <n v="4.0599999999999996"/>
        <n v="17.32"/>
        <n v="15.6"/>
        <n v="22.65"/>
        <n v="4.88"/>
        <n v="11.3"/>
        <n v="13.36"/>
        <n v="10.220000000000001"/>
        <n v="18.739999999999998"/>
        <n v="3.01"/>
        <n v="6.65"/>
        <n v="22.37"/>
        <n v="7.13"/>
        <n v="10.73"/>
        <n v="9.5500000000000007"/>
        <n v="13.99"/>
        <n v="13.45"/>
        <n v="5.66"/>
        <n v="13.4"/>
        <n v="13.56"/>
        <n v="3.19"/>
        <n v="9"/>
        <n v="8.5299999999999994"/>
        <n v="14.79"/>
        <n v="8.41"/>
        <n v="20.16"/>
        <n v="15.93"/>
        <n v="23.93"/>
        <n v="22.01"/>
        <n v="21.14"/>
        <n v="16.73"/>
        <n v="11.56"/>
        <n v="15.59"/>
        <n v="11.45"/>
        <n v="10.1"/>
        <n v="3.53"/>
        <n v="12.77"/>
        <n v="16.579999999999998"/>
        <n v="2.52"/>
        <n v="12.51"/>
        <n v="13.25"/>
        <n v="22.32"/>
        <n v="2.69"/>
        <n v="23.2"/>
        <n v="19.43"/>
        <n v="8.08"/>
        <n v="21.58"/>
        <n v="9.15"/>
        <n v="13.74"/>
        <n v="11.2"/>
        <n v="2.88"/>
        <n v="13.9"/>
        <n v="4.28"/>
        <n v="18.920000000000002"/>
        <n v="16.28"/>
        <n v="5.59"/>
        <n v="5.36"/>
        <n v="14.29"/>
        <n v="10.6"/>
        <n v="19.899999999999999"/>
        <n v="2.56"/>
        <n v="6.53"/>
        <n v="11.87"/>
        <n v="17.649999999999999"/>
        <n v="2.68"/>
        <n v="15.81"/>
        <n v="23.48"/>
        <n v="19.579999999999998"/>
        <n v="24.62"/>
        <n v="15.57"/>
        <n v="3.9"/>
        <n v="18.27"/>
        <n v="23.73"/>
        <n v="12.62"/>
        <n v="21.09"/>
        <n v="18.5"/>
        <n v="3.2"/>
        <n v="4.79"/>
        <n v="24.94"/>
        <n v="3.46"/>
        <n v="13.66"/>
        <n v="13.73"/>
        <n v="13.29"/>
        <n v="6.55"/>
        <n v="14.41"/>
        <n v="6.46"/>
        <n v="9.4499999999999993"/>
        <n v="2.95"/>
        <n v="18.63"/>
        <n v="21.87"/>
        <n v="9.76"/>
        <n v="24.3"/>
        <n v="19.010000000000002"/>
        <n v="6.6"/>
        <n v="9.9499999999999993"/>
        <n v="20.99"/>
        <n v="7.22"/>
        <n v="3.58"/>
        <n v="10.4"/>
        <n v="10.19"/>
        <n v="24.67"/>
        <n v="18.75"/>
        <n v="3.62"/>
        <n v="12.12"/>
      </sharedItems>
    </cacheField>
    <cacheField name="Units_Sold" numFmtId="0">
      <sharedItems containsSemiMixedTypes="0" containsString="0" containsNumber="1" containsInteger="1" minValue="5" maxValue="200" count="180">
        <n v="194"/>
        <n v="144"/>
        <n v="134"/>
        <n v="112"/>
        <n v="92"/>
        <n v="96"/>
        <n v="101"/>
        <n v="16"/>
        <n v="121"/>
        <n v="184"/>
        <n v="102"/>
        <n v="19"/>
        <n v="150"/>
        <n v="72"/>
        <n v="154"/>
        <n v="17"/>
        <n v="103"/>
        <n v="34"/>
        <n v="81"/>
        <n v="143"/>
        <n v="97"/>
        <n v="26"/>
        <n v="145"/>
        <n v="181"/>
        <n v="137"/>
        <n v="146"/>
        <n v="63"/>
        <n v="129"/>
        <n v="53"/>
        <n v="191"/>
        <n v="32"/>
        <n v="123"/>
        <n v="8"/>
        <n v="107"/>
        <n v="52"/>
        <n v="66"/>
        <n v="23"/>
        <n v="174"/>
        <n v="77"/>
        <n v="114"/>
        <n v="99"/>
        <n v="15"/>
        <n v="109"/>
        <n v="11"/>
        <n v="122"/>
        <n v="89"/>
        <n v="142"/>
        <n v="135"/>
        <n v="5"/>
        <n v="88"/>
        <n v="82"/>
        <n v="59"/>
        <n v="163"/>
        <n v="152"/>
        <n v="148"/>
        <n v="195"/>
        <n v="138"/>
        <n v="65"/>
        <n v="182"/>
        <n v="124"/>
        <n v="10"/>
        <n v="104"/>
        <n v="37"/>
        <n v="94"/>
        <n v="60"/>
        <n v="196"/>
        <n v="84"/>
        <n v="158"/>
        <n v="74"/>
        <n v="67"/>
        <n v="176"/>
        <n v="95"/>
        <n v="147"/>
        <n v="199"/>
        <n v="61"/>
        <n v="83"/>
        <n v="200"/>
        <n v="155"/>
        <n v="125"/>
        <n v="127"/>
        <n v="18"/>
        <n v="118"/>
        <n v="49"/>
        <n v="55"/>
        <n v="41"/>
        <n v="117"/>
        <n v="116"/>
        <n v="57"/>
        <n v="12"/>
        <n v="132"/>
        <n v="39"/>
        <n v="93"/>
        <n v="183"/>
        <n v="126"/>
        <n v="156"/>
        <n v="86"/>
        <n v="180"/>
        <n v="30"/>
        <n v="80"/>
        <n v="179"/>
        <n v="151"/>
        <n v="7"/>
        <n v="40"/>
        <n v="192"/>
        <n v="38"/>
        <n v="128"/>
        <n v="62"/>
        <n v="100"/>
        <n v="131"/>
        <n v="130"/>
        <n v="106"/>
        <n v="168"/>
        <n v="157"/>
        <n v="33"/>
        <n v="9"/>
        <n v="133"/>
        <n v="20"/>
        <n v="167"/>
        <n v="29"/>
        <n v="113"/>
        <n v="164"/>
        <n v="73"/>
        <n v="28"/>
        <n v="160"/>
        <n v="115"/>
        <n v="85"/>
        <n v="25"/>
        <n v="170"/>
        <n v="159"/>
        <n v="149"/>
        <n v="22"/>
        <n v="24"/>
        <n v="43"/>
        <n v="98"/>
        <n v="166"/>
        <n v="44"/>
        <n v="36"/>
        <n v="139"/>
        <n v="173"/>
        <n v="91"/>
        <n v="56"/>
        <n v="197"/>
        <n v="87"/>
        <n v="68"/>
        <n v="35"/>
        <n v="79"/>
        <n v="188"/>
        <n v="186"/>
        <n v="153"/>
        <n v="111"/>
        <n v="45"/>
        <n v="136"/>
        <n v="189"/>
        <n v="42"/>
        <n v="140"/>
        <n v="27"/>
        <n v="50"/>
        <n v="169"/>
        <n v="108"/>
        <n v="119"/>
        <n v="172"/>
        <n v="21"/>
        <n v="13"/>
        <n v="64"/>
        <n v="90"/>
        <n v="198"/>
        <n v="141"/>
        <n v="78"/>
        <n v="120"/>
        <n v="6"/>
        <n v="47"/>
        <n v="171"/>
        <n v="178"/>
        <n v="54"/>
        <n v="48"/>
        <n v="165"/>
        <n v="190"/>
        <n v="162"/>
        <n v="14"/>
        <n v="193"/>
      </sharedItems>
    </cacheField>
    <cacheField name="Revenue_USD" numFmtId="0">
      <sharedItems containsSemiMixedTypes="0" containsString="0" containsNumber="1" minValue="20.48" maxValue="4809.26"/>
    </cacheField>
    <cacheField name="Days (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x v="0"/>
    <x v="0"/>
    <x v="0"/>
    <x v="0"/>
    <n v="970"/>
  </r>
  <r>
    <x v="1"/>
    <x v="1"/>
    <x v="1"/>
    <x v="1"/>
    <x v="1"/>
    <x v="1"/>
    <x v="1"/>
    <x v="1"/>
    <x v="1"/>
    <n v="2553.12"/>
  </r>
  <r>
    <x v="2"/>
    <x v="2"/>
    <x v="2"/>
    <x v="2"/>
    <x v="2"/>
    <x v="0"/>
    <x v="0"/>
    <x v="2"/>
    <x v="2"/>
    <n v="994.28"/>
  </r>
  <r>
    <x v="3"/>
    <x v="3"/>
    <x v="3"/>
    <x v="3"/>
    <x v="3"/>
    <x v="2"/>
    <x v="1"/>
    <x v="3"/>
    <x v="3"/>
    <n v="2047.36"/>
  </r>
  <r>
    <x v="4"/>
    <x v="4"/>
    <x v="0"/>
    <x v="0"/>
    <x v="0"/>
    <x v="2"/>
    <x v="1"/>
    <x v="4"/>
    <x v="4"/>
    <n v="1675.32"/>
  </r>
  <r>
    <x v="5"/>
    <x v="2"/>
    <x v="4"/>
    <x v="4"/>
    <x v="3"/>
    <x v="2"/>
    <x v="1"/>
    <x v="5"/>
    <x v="5"/>
    <n v="1060.8"/>
  </r>
  <r>
    <x v="6"/>
    <x v="5"/>
    <x v="1"/>
    <x v="1"/>
    <x v="4"/>
    <x v="2"/>
    <x v="0"/>
    <x v="6"/>
    <x v="6"/>
    <n v="1471.57"/>
  </r>
  <r>
    <x v="7"/>
    <x v="6"/>
    <x v="5"/>
    <x v="0"/>
    <x v="4"/>
    <x v="1"/>
    <x v="1"/>
    <x v="7"/>
    <x v="7"/>
    <n v="293.60000000000002"/>
  </r>
  <r>
    <x v="8"/>
    <x v="7"/>
    <x v="5"/>
    <x v="4"/>
    <x v="5"/>
    <x v="2"/>
    <x v="2"/>
    <x v="5"/>
    <x v="8"/>
    <n v="1337.05"/>
  </r>
  <r>
    <x v="9"/>
    <x v="8"/>
    <x v="5"/>
    <x v="5"/>
    <x v="6"/>
    <x v="0"/>
    <x v="0"/>
    <x v="8"/>
    <x v="9"/>
    <n v="3234.72"/>
  </r>
  <r>
    <x v="10"/>
    <x v="9"/>
    <x v="0"/>
    <x v="5"/>
    <x v="2"/>
    <x v="0"/>
    <x v="0"/>
    <x v="9"/>
    <x v="10"/>
    <n v="630.36"/>
  </r>
  <r>
    <x v="11"/>
    <x v="10"/>
    <x v="3"/>
    <x v="2"/>
    <x v="7"/>
    <x v="3"/>
    <x v="2"/>
    <x v="10"/>
    <x v="11"/>
    <n v="407.74"/>
  </r>
  <r>
    <x v="12"/>
    <x v="11"/>
    <x v="5"/>
    <x v="4"/>
    <x v="0"/>
    <x v="3"/>
    <x v="2"/>
    <x v="11"/>
    <x v="12"/>
    <n v="1087.5"/>
  </r>
  <r>
    <x v="13"/>
    <x v="12"/>
    <x v="3"/>
    <x v="0"/>
    <x v="2"/>
    <x v="2"/>
    <x v="0"/>
    <x v="12"/>
    <x v="13"/>
    <n v="923.04"/>
  </r>
  <r>
    <x v="14"/>
    <x v="13"/>
    <x v="6"/>
    <x v="4"/>
    <x v="0"/>
    <x v="0"/>
    <x v="0"/>
    <x v="13"/>
    <x v="14"/>
    <n v="1869.56"/>
  </r>
  <r>
    <x v="15"/>
    <x v="14"/>
    <x v="4"/>
    <x v="2"/>
    <x v="5"/>
    <x v="0"/>
    <x v="0"/>
    <x v="14"/>
    <x v="15"/>
    <n v="77.349999999999994"/>
  </r>
  <r>
    <x v="16"/>
    <x v="15"/>
    <x v="6"/>
    <x v="1"/>
    <x v="8"/>
    <x v="2"/>
    <x v="0"/>
    <x v="15"/>
    <x v="16"/>
    <n v="1639.76"/>
  </r>
  <r>
    <x v="17"/>
    <x v="16"/>
    <x v="5"/>
    <x v="1"/>
    <x v="4"/>
    <x v="2"/>
    <x v="1"/>
    <x v="16"/>
    <x v="17"/>
    <n v="605.54"/>
  </r>
  <r>
    <x v="18"/>
    <x v="17"/>
    <x v="1"/>
    <x v="5"/>
    <x v="4"/>
    <x v="0"/>
    <x v="0"/>
    <x v="17"/>
    <x v="8"/>
    <n v="1485.88"/>
  </r>
  <r>
    <x v="19"/>
    <x v="18"/>
    <x v="4"/>
    <x v="5"/>
    <x v="2"/>
    <x v="0"/>
    <x v="1"/>
    <x v="18"/>
    <x v="18"/>
    <n v="1789.29"/>
  </r>
  <r>
    <x v="20"/>
    <x v="19"/>
    <x v="4"/>
    <x v="1"/>
    <x v="9"/>
    <x v="2"/>
    <x v="2"/>
    <x v="19"/>
    <x v="19"/>
    <n v="2811.38"/>
  </r>
  <r>
    <x v="21"/>
    <x v="20"/>
    <x v="4"/>
    <x v="4"/>
    <x v="0"/>
    <x v="1"/>
    <x v="1"/>
    <x v="20"/>
    <x v="20"/>
    <n v="486.94"/>
  </r>
  <r>
    <x v="22"/>
    <x v="21"/>
    <x v="5"/>
    <x v="3"/>
    <x v="6"/>
    <x v="0"/>
    <x v="1"/>
    <x v="21"/>
    <x v="21"/>
    <n v="619.05999999999995"/>
  </r>
  <r>
    <x v="23"/>
    <x v="22"/>
    <x v="3"/>
    <x v="4"/>
    <x v="2"/>
    <x v="3"/>
    <x v="1"/>
    <x v="22"/>
    <x v="22"/>
    <n v="1912.55"/>
  </r>
  <r>
    <x v="24"/>
    <x v="23"/>
    <x v="3"/>
    <x v="5"/>
    <x v="4"/>
    <x v="3"/>
    <x v="0"/>
    <x v="23"/>
    <x v="23"/>
    <n v="3527.69"/>
  </r>
  <r>
    <x v="25"/>
    <x v="3"/>
    <x v="6"/>
    <x v="2"/>
    <x v="0"/>
    <x v="0"/>
    <x v="1"/>
    <x v="24"/>
    <x v="24"/>
    <n v="1493.3"/>
  </r>
  <r>
    <x v="26"/>
    <x v="24"/>
    <x v="3"/>
    <x v="1"/>
    <x v="0"/>
    <x v="1"/>
    <x v="1"/>
    <x v="25"/>
    <x v="25"/>
    <n v="433.62"/>
  </r>
  <r>
    <x v="27"/>
    <x v="25"/>
    <x v="1"/>
    <x v="2"/>
    <x v="7"/>
    <x v="1"/>
    <x v="0"/>
    <x v="26"/>
    <x v="26"/>
    <n v="1052.0999999999999"/>
  </r>
  <r>
    <x v="28"/>
    <x v="26"/>
    <x v="3"/>
    <x v="1"/>
    <x v="5"/>
    <x v="3"/>
    <x v="1"/>
    <x v="27"/>
    <x v="27"/>
    <n v="1131.33"/>
  </r>
  <r>
    <x v="29"/>
    <x v="27"/>
    <x v="1"/>
    <x v="2"/>
    <x v="1"/>
    <x v="2"/>
    <x v="2"/>
    <x v="28"/>
    <x v="28"/>
    <n v="1095.51"/>
  </r>
  <r>
    <x v="30"/>
    <x v="28"/>
    <x v="1"/>
    <x v="5"/>
    <x v="6"/>
    <x v="1"/>
    <x v="2"/>
    <x v="29"/>
    <x v="29"/>
    <n v="2484.91"/>
  </r>
  <r>
    <x v="31"/>
    <x v="24"/>
    <x v="3"/>
    <x v="0"/>
    <x v="0"/>
    <x v="3"/>
    <x v="1"/>
    <x v="30"/>
    <x v="30"/>
    <n v="656.32"/>
  </r>
  <r>
    <x v="32"/>
    <x v="15"/>
    <x v="3"/>
    <x v="2"/>
    <x v="8"/>
    <x v="1"/>
    <x v="1"/>
    <x v="31"/>
    <x v="31"/>
    <n v="815.49"/>
  </r>
  <r>
    <x v="33"/>
    <x v="29"/>
    <x v="1"/>
    <x v="0"/>
    <x v="5"/>
    <x v="3"/>
    <x v="2"/>
    <x v="32"/>
    <x v="32"/>
    <n v="199.84"/>
  </r>
  <r>
    <x v="34"/>
    <x v="30"/>
    <x v="1"/>
    <x v="0"/>
    <x v="1"/>
    <x v="1"/>
    <x v="2"/>
    <x v="33"/>
    <x v="33"/>
    <n v="782.17"/>
  </r>
  <r>
    <x v="35"/>
    <x v="31"/>
    <x v="0"/>
    <x v="3"/>
    <x v="2"/>
    <x v="3"/>
    <x v="1"/>
    <x v="34"/>
    <x v="8"/>
    <n v="2825.35"/>
  </r>
  <r>
    <x v="36"/>
    <x v="32"/>
    <x v="2"/>
    <x v="5"/>
    <x v="2"/>
    <x v="1"/>
    <x v="0"/>
    <x v="35"/>
    <x v="11"/>
    <n v="174.42"/>
  </r>
  <r>
    <x v="37"/>
    <x v="33"/>
    <x v="6"/>
    <x v="1"/>
    <x v="2"/>
    <x v="0"/>
    <x v="1"/>
    <x v="36"/>
    <x v="14"/>
    <n v="583.66"/>
  </r>
  <r>
    <x v="38"/>
    <x v="34"/>
    <x v="1"/>
    <x v="1"/>
    <x v="6"/>
    <x v="0"/>
    <x v="2"/>
    <x v="37"/>
    <x v="34"/>
    <n v="223.6"/>
  </r>
  <r>
    <x v="39"/>
    <x v="35"/>
    <x v="3"/>
    <x v="1"/>
    <x v="3"/>
    <x v="1"/>
    <x v="0"/>
    <x v="38"/>
    <x v="12"/>
    <n v="3553.5"/>
  </r>
  <r>
    <x v="40"/>
    <x v="36"/>
    <x v="2"/>
    <x v="1"/>
    <x v="7"/>
    <x v="2"/>
    <x v="1"/>
    <x v="39"/>
    <x v="14"/>
    <n v="1837.22"/>
  </r>
  <r>
    <x v="41"/>
    <x v="37"/>
    <x v="0"/>
    <x v="3"/>
    <x v="5"/>
    <x v="2"/>
    <x v="2"/>
    <x v="40"/>
    <x v="35"/>
    <n v="1228.26"/>
  </r>
  <r>
    <x v="42"/>
    <x v="38"/>
    <x v="1"/>
    <x v="3"/>
    <x v="3"/>
    <x v="1"/>
    <x v="1"/>
    <x v="41"/>
    <x v="36"/>
    <n v="538.20000000000005"/>
  </r>
  <r>
    <x v="43"/>
    <x v="39"/>
    <x v="3"/>
    <x v="4"/>
    <x v="6"/>
    <x v="0"/>
    <x v="2"/>
    <x v="42"/>
    <x v="13"/>
    <n v="525.6"/>
  </r>
  <r>
    <x v="44"/>
    <x v="40"/>
    <x v="5"/>
    <x v="4"/>
    <x v="3"/>
    <x v="1"/>
    <x v="0"/>
    <x v="43"/>
    <x v="1"/>
    <n v="871.2"/>
  </r>
  <r>
    <x v="45"/>
    <x v="41"/>
    <x v="1"/>
    <x v="0"/>
    <x v="4"/>
    <x v="1"/>
    <x v="1"/>
    <x v="44"/>
    <x v="37"/>
    <n v="1607.76"/>
  </r>
  <r>
    <x v="46"/>
    <x v="41"/>
    <x v="2"/>
    <x v="0"/>
    <x v="7"/>
    <x v="0"/>
    <x v="0"/>
    <x v="45"/>
    <x v="38"/>
    <n v="462"/>
  </r>
  <r>
    <x v="47"/>
    <x v="42"/>
    <x v="6"/>
    <x v="4"/>
    <x v="9"/>
    <x v="1"/>
    <x v="0"/>
    <x v="46"/>
    <x v="2"/>
    <n v="2906.46"/>
  </r>
  <r>
    <x v="48"/>
    <x v="15"/>
    <x v="1"/>
    <x v="4"/>
    <x v="5"/>
    <x v="2"/>
    <x v="1"/>
    <x v="47"/>
    <x v="7"/>
    <n v="338.56"/>
  </r>
  <r>
    <x v="49"/>
    <x v="43"/>
    <x v="2"/>
    <x v="2"/>
    <x v="6"/>
    <x v="1"/>
    <x v="0"/>
    <x v="48"/>
    <x v="39"/>
    <n v="1699.74"/>
  </r>
  <r>
    <x v="50"/>
    <x v="44"/>
    <x v="2"/>
    <x v="1"/>
    <x v="5"/>
    <x v="3"/>
    <x v="1"/>
    <x v="49"/>
    <x v="40"/>
    <n v="1463.22"/>
  </r>
  <r>
    <x v="51"/>
    <x v="45"/>
    <x v="0"/>
    <x v="0"/>
    <x v="0"/>
    <x v="1"/>
    <x v="2"/>
    <x v="50"/>
    <x v="41"/>
    <n v="141.6"/>
  </r>
  <r>
    <x v="52"/>
    <x v="46"/>
    <x v="2"/>
    <x v="5"/>
    <x v="5"/>
    <x v="0"/>
    <x v="1"/>
    <x v="51"/>
    <x v="42"/>
    <n v="2440.5100000000002"/>
  </r>
  <r>
    <x v="53"/>
    <x v="47"/>
    <x v="3"/>
    <x v="5"/>
    <x v="7"/>
    <x v="3"/>
    <x v="0"/>
    <x v="52"/>
    <x v="43"/>
    <n v="245.63"/>
  </r>
  <r>
    <x v="54"/>
    <x v="48"/>
    <x v="1"/>
    <x v="3"/>
    <x v="9"/>
    <x v="3"/>
    <x v="1"/>
    <x v="53"/>
    <x v="9"/>
    <n v="1564"/>
  </r>
  <r>
    <x v="55"/>
    <x v="49"/>
    <x v="0"/>
    <x v="4"/>
    <x v="0"/>
    <x v="0"/>
    <x v="1"/>
    <x v="54"/>
    <x v="44"/>
    <n v="2546.14"/>
  </r>
  <r>
    <x v="56"/>
    <x v="22"/>
    <x v="0"/>
    <x v="2"/>
    <x v="4"/>
    <x v="2"/>
    <x v="0"/>
    <x v="55"/>
    <x v="45"/>
    <n v="609.65"/>
  </r>
  <r>
    <x v="57"/>
    <x v="34"/>
    <x v="0"/>
    <x v="2"/>
    <x v="6"/>
    <x v="2"/>
    <x v="1"/>
    <x v="56"/>
    <x v="46"/>
    <n v="1631.58"/>
  </r>
  <r>
    <x v="58"/>
    <x v="50"/>
    <x v="1"/>
    <x v="2"/>
    <x v="3"/>
    <x v="3"/>
    <x v="2"/>
    <x v="57"/>
    <x v="13"/>
    <n v="1739.52"/>
  </r>
  <r>
    <x v="59"/>
    <x v="33"/>
    <x v="1"/>
    <x v="3"/>
    <x v="3"/>
    <x v="0"/>
    <x v="2"/>
    <x v="58"/>
    <x v="47"/>
    <n v="1663.2"/>
  </r>
  <r>
    <x v="60"/>
    <x v="51"/>
    <x v="2"/>
    <x v="1"/>
    <x v="0"/>
    <x v="2"/>
    <x v="2"/>
    <x v="59"/>
    <x v="48"/>
    <n v="92.25"/>
  </r>
  <r>
    <x v="61"/>
    <x v="52"/>
    <x v="2"/>
    <x v="4"/>
    <x v="6"/>
    <x v="2"/>
    <x v="0"/>
    <x v="60"/>
    <x v="45"/>
    <n v="2122.65"/>
  </r>
  <r>
    <x v="62"/>
    <x v="53"/>
    <x v="6"/>
    <x v="5"/>
    <x v="4"/>
    <x v="0"/>
    <x v="1"/>
    <x v="61"/>
    <x v="49"/>
    <n v="1540.88"/>
  </r>
  <r>
    <x v="63"/>
    <x v="54"/>
    <x v="5"/>
    <x v="5"/>
    <x v="5"/>
    <x v="2"/>
    <x v="2"/>
    <x v="62"/>
    <x v="10"/>
    <n v="1780.92"/>
  </r>
  <r>
    <x v="64"/>
    <x v="55"/>
    <x v="0"/>
    <x v="0"/>
    <x v="1"/>
    <x v="2"/>
    <x v="2"/>
    <x v="63"/>
    <x v="50"/>
    <n v="1743.32"/>
  </r>
  <r>
    <x v="65"/>
    <x v="43"/>
    <x v="2"/>
    <x v="3"/>
    <x v="5"/>
    <x v="1"/>
    <x v="2"/>
    <x v="64"/>
    <x v="51"/>
    <n v="734.55"/>
  </r>
  <r>
    <x v="66"/>
    <x v="56"/>
    <x v="0"/>
    <x v="2"/>
    <x v="0"/>
    <x v="2"/>
    <x v="1"/>
    <x v="65"/>
    <x v="52"/>
    <n v="2842.72"/>
  </r>
  <r>
    <x v="67"/>
    <x v="57"/>
    <x v="3"/>
    <x v="3"/>
    <x v="3"/>
    <x v="1"/>
    <x v="2"/>
    <x v="66"/>
    <x v="7"/>
    <n v="93.12"/>
  </r>
  <r>
    <x v="68"/>
    <x v="58"/>
    <x v="3"/>
    <x v="5"/>
    <x v="1"/>
    <x v="3"/>
    <x v="2"/>
    <x v="67"/>
    <x v="53"/>
    <n v="3410.88"/>
  </r>
  <r>
    <x v="69"/>
    <x v="59"/>
    <x v="1"/>
    <x v="2"/>
    <x v="1"/>
    <x v="0"/>
    <x v="1"/>
    <x v="66"/>
    <x v="23"/>
    <n v="1053.42"/>
  </r>
  <r>
    <x v="70"/>
    <x v="60"/>
    <x v="2"/>
    <x v="0"/>
    <x v="6"/>
    <x v="3"/>
    <x v="1"/>
    <x v="68"/>
    <x v="15"/>
    <n v="240.55"/>
  </r>
  <r>
    <x v="71"/>
    <x v="61"/>
    <x v="2"/>
    <x v="4"/>
    <x v="8"/>
    <x v="3"/>
    <x v="0"/>
    <x v="69"/>
    <x v="54"/>
    <n v="2592.96"/>
  </r>
  <r>
    <x v="72"/>
    <x v="62"/>
    <x v="4"/>
    <x v="3"/>
    <x v="8"/>
    <x v="2"/>
    <x v="1"/>
    <x v="70"/>
    <x v="55"/>
    <n v="4424.55"/>
  </r>
  <r>
    <x v="73"/>
    <x v="63"/>
    <x v="6"/>
    <x v="5"/>
    <x v="0"/>
    <x v="2"/>
    <x v="2"/>
    <x v="71"/>
    <x v="56"/>
    <n v="1206.1199999999999"/>
  </r>
  <r>
    <x v="74"/>
    <x v="64"/>
    <x v="0"/>
    <x v="4"/>
    <x v="7"/>
    <x v="1"/>
    <x v="1"/>
    <x v="72"/>
    <x v="57"/>
    <n v="1205.75"/>
  </r>
  <r>
    <x v="75"/>
    <x v="65"/>
    <x v="3"/>
    <x v="5"/>
    <x v="0"/>
    <x v="1"/>
    <x v="2"/>
    <x v="73"/>
    <x v="58"/>
    <n v="1401.4"/>
  </r>
  <r>
    <x v="76"/>
    <x v="66"/>
    <x v="6"/>
    <x v="2"/>
    <x v="0"/>
    <x v="3"/>
    <x v="2"/>
    <x v="74"/>
    <x v="59"/>
    <n v="1232.56"/>
  </r>
  <r>
    <x v="77"/>
    <x v="13"/>
    <x v="4"/>
    <x v="1"/>
    <x v="1"/>
    <x v="3"/>
    <x v="1"/>
    <x v="75"/>
    <x v="60"/>
    <n v="237.9"/>
  </r>
  <r>
    <x v="78"/>
    <x v="67"/>
    <x v="4"/>
    <x v="3"/>
    <x v="2"/>
    <x v="0"/>
    <x v="2"/>
    <x v="76"/>
    <x v="61"/>
    <n v="958.88"/>
  </r>
  <r>
    <x v="79"/>
    <x v="68"/>
    <x v="1"/>
    <x v="3"/>
    <x v="7"/>
    <x v="3"/>
    <x v="0"/>
    <x v="77"/>
    <x v="27"/>
    <n v="1114.56"/>
  </r>
  <r>
    <x v="80"/>
    <x v="69"/>
    <x v="2"/>
    <x v="1"/>
    <x v="9"/>
    <x v="3"/>
    <x v="0"/>
    <x v="78"/>
    <x v="62"/>
    <n v="792.17"/>
  </r>
  <r>
    <x v="81"/>
    <x v="70"/>
    <x v="5"/>
    <x v="3"/>
    <x v="5"/>
    <x v="3"/>
    <x v="1"/>
    <x v="79"/>
    <x v="21"/>
    <n v="452.92"/>
  </r>
  <r>
    <x v="82"/>
    <x v="71"/>
    <x v="3"/>
    <x v="3"/>
    <x v="7"/>
    <x v="2"/>
    <x v="2"/>
    <x v="80"/>
    <x v="49"/>
    <n v="734.8"/>
  </r>
  <r>
    <x v="83"/>
    <x v="72"/>
    <x v="0"/>
    <x v="2"/>
    <x v="8"/>
    <x v="1"/>
    <x v="0"/>
    <x v="81"/>
    <x v="3"/>
    <n v="2175.04"/>
  </r>
  <r>
    <x v="84"/>
    <x v="23"/>
    <x v="3"/>
    <x v="5"/>
    <x v="6"/>
    <x v="1"/>
    <x v="1"/>
    <x v="82"/>
    <x v="63"/>
    <n v="344.98"/>
  </r>
  <r>
    <x v="85"/>
    <x v="73"/>
    <x v="2"/>
    <x v="0"/>
    <x v="0"/>
    <x v="0"/>
    <x v="2"/>
    <x v="83"/>
    <x v="60"/>
    <n v="69.900000000000006"/>
  </r>
  <r>
    <x v="86"/>
    <x v="37"/>
    <x v="6"/>
    <x v="5"/>
    <x v="4"/>
    <x v="2"/>
    <x v="1"/>
    <x v="84"/>
    <x v="64"/>
    <n v="304.2"/>
  </r>
  <r>
    <x v="87"/>
    <x v="74"/>
    <x v="5"/>
    <x v="2"/>
    <x v="5"/>
    <x v="2"/>
    <x v="1"/>
    <x v="85"/>
    <x v="65"/>
    <n v="3167.36"/>
  </r>
  <r>
    <x v="88"/>
    <x v="75"/>
    <x v="2"/>
    <x v="5"/>
    <x v="1"/>
    <x v="3"/>
    <x v="0"/>
    <x v="86"/>
    <x v="66"/>
    <n v="258.72000000000003"/>
  </r>
  <r>
    <x v="89"/>
    <x v="57"/>
    <x v="4"/>
    <x v="5"/>
    <x v="0"/>
    <x v="1"/>
    <x v="0"/>
    <x v="87"/>
    <x v="23"/>
    <n v="762.01"/>
  </r>
  <r>
    <x v="90"/>
    <x v="76"/>
    <x v="4"/>
    <x v="2"/>
    <x v="3"/>
    <x v="1"/>
    <x v="2"/>
    <x v="88"/>
    <x v="67"/>
    <n v="3417.54"/>
  </r>
  <r>
    <x v="91"/>
    <x v="77"/>
    <x v="1"/>
    <x v="1"/>
    <x v="7"/>
    <x v="1"/>
    <x v="2"/>
    <x v="13"/>
    <x v="40"/>
    <n v="1201.8599999999999"/>
  </r>
  <r>
    <x v="92"/>
    <x v="78"/>
    <x v="5"/>
    <x v="3"/>
    <x v="5"/>
    <x v="3"/>
    <x v="1"/>
    <x v="89"/>
    <x v="20"/>
    <n v="472.39"/>
  </r>
  <r>
    <x v="93"/>
    <x v="79"/>
    <x v="2"/>
    <x v="1"/>
    <x v="8"/>
    <x v="3"/>
    <x v="2"/>
    <x v="90"/>
    <x v="68"/>
    <n v="1792.28"/>
  </r>
  <r>
    <x v="94"/>
    <x v="80"/>
    <x v="4"/>
    <x v="2"/>
    <x v="4"/>
    <x v="3"/>
    <x v="1"/>
    <x v="91"/>
    <x v="69"/>
    <n v="572.17999999999995"/>
  </r>
  <r>
    <x v="95"/>
    <x v="61"/>
    <x v="6"/>
    <x v="4"/>
    <x v="9"/>
    <x v="3"/>
    <x v="2"/>
    <x v="92"/>
    <x v="70"/>
    <n v="2696.32"/>
  </r>
  <r>
    <x v="96"/>
    <x v="81"/>
    <x v="4"/>
    <x v="4"/>
    <x v="7"/>
    <x v="2"/>
    <x v="0"/>
    <x v="93"/>
    <x v="71"/>
    <n v="1279.6500000000001"/>
  </r>
  <r>
    <x v="97"/>
    <x v="82"/>
    <x v="1"/>
    <x v="1"/>
    <x v="0"/>
    <x v="1"/>
    <x v="1"/>
    <x v="94"/>
    <x v="72"/>
    <n v="3278.1"/>
  </r>
  <r>
    <x v="98"/>
    <x v="66"/>
    <x v="3"/>
    <x v="5"/>
    <x v="8"/>
    <x v="3"/>
    <x v="2"/>
    <x v="95"/>
    <x v="73"/>
    <n v="2684.51"/>
  </r>
  <r>
    <x v="99"/>
    <x v="83"/>
    <x v="6"/>
    <x v="5"/>
    <x v="0"/>
    <x v="2"/>
    <x v="0"/>
    <x v="96"/>
    <x v="74"/>
    <n v="279.99"/>
  </r>
  <r>
    <x v="100"/>
    <x v="50"/>
    <x v="2"/>
    <x v="4"/>
    <x v="1"/>
    <x v="2"/>
    <x v="2"/>
    <x v="97"/>
    <x v="25"/>
    <n v="1576.8"/>
  </r>
  <r>
    <x v="101"/>
    <x v="82"/>
    <x v="0"/>
    <x v="0"/>
    <x v="6"/>
    <x v="0"/>
    <x v="2"/>
    <x v="98"/>
    <x v="75"/>
    <n v="1054.93"/>
  </r>
  <r>
    <x v="102"/>
    <x v="35"/>
    <x v="5"/>
    <x v="0"/>
    <x v="0"/>
    <x v="0"/>
    <x v="0"/>
    <x v="99"/>
    <x v="76"/>
    <n v="3842"/>
  </r>
  <r>
    <x v="103"/>
    <x v="84"/>
    <x v="4"/>
    <x v="1"/>
    <x v="3"/>
    <x v="2"/>
    <x v="1"/>
    <x v="100"/>
    <x v="77"/>
    <n v="1351.6"/>
  </r>
  <r>
    <x v="104"/>
    <x v="85"/>
    <x v="3"/>
    <x v="4"/>
    <x v="9"/>
    <x v="0"/>
    <x v="2"/>
    <x v="101"/>
    <x v="20"/>
    <n v="889.49"/>
  </r>
  <r>
    <x v="105"/>
    <x v="86"/>
    <x v="0"/>
    <x v="5"/>
    <x v="5"/>
    <x v="3"/>
    <x v="1"/>
    <x v="102"/>
    <x v="25"/>
    <n v="3565.32"/>
  </r>
  <r>
    <x v="106"/>
    <x v="87"/>
    <x v="6"/>
    <x v="3"/>
    <x v="7"/>
    <x v="0"/>
    <x v="1"/>
    <x v="103"/>
    <x v="78"/>
    <n v="1927.5"/>
  </r>
  <r>
    <x v="107"/>
    <x v="88"/>
    <x v="1"/>
    <x v="2"/>
    <x v="1"/>
    <x v="3"/>
    <x v="1"/>
    <x v="104"/>
    <x v="79"/>
    <n v="3006.09"/>
  </r>
  <r>
    <x v="108"/>
    <x v="89"/>
    <x v="3"/>
    <x v="0"/>
    <x v="3"/>
    <x v="2"/>
    <x v="1"/>
    <x v="105"/>
    <x v="80"/>
    <n v="299.88"/>
  </r>
  <r>
    <x v="109"/>
    <x v="48"/>
    <x v="6"/>
    <x v="1"/>
    <x v="3"/>
    <x v="0"/>
    <x v="0"/>
    <x v="106"/>
    <x v="76"/>
    <n v="1034"/>
  </r>
  <r>
    <x v="110"/>
    <x v="90"/>
    <x v="0"/>
    <x v="1"/>
    <x v="1"/>
    <x v="2"/>
    <x v="0"/>
    <x v="107"/>
    <x v="81"/>
    <n v="1491.52"/>
  </r>
  <r>
    <x v="111"/>
    <x v="91"/>
    <x v="1"/>
    <x v="0"/>
    <x v="0"/>
    <x v="2"/>
    <x v="0"/>
    <x v="108"/>
    <x v="0"/>
    <n v="748.84"/>
  </r>
  <r>
    <x v="112"/>
    <x v="36"/>
    <x v="2"/>
    <x v="2"/>
    <x v="5"/>
    <x v="1"/>
    <x v="2"/>
    <x v="109"/>
    <x v="82"/>
    <n v="295.47000000000003"/>
  </r>
  <r>
    <x v="113"/>
    <x v="92"/>
    <x v="0"/>
    <x v="2"/>
    <x v="0"/>
    <x v="2"/>
    <x v="0"/>
    <x v="110"/>
    <x v="78"/>
    <n v="2251.25"/>
  </r>
  <r>
    <x v="114"/>
    <x v="93"/>
    <x v="1"/>
    <x v="5"/>
    <x v="0"/>
    <x v="2"/>
    <x v="0"/>
    <x v="111"/>
    <x v="8"/>
    <n v="2216.7199999999998"/>
  </r>
  <r>
    <x v="115"/>
    <x v="94"/>
    <x v="6"/>
    <x v="2"/>
    <x v="2"/>
    <x v="0"/>
    <x v="0"/>
    <x v="112"/>
    <x v="83"/>
    <n v="955.9"/>
  </r>
  <r>
    <x v="116"/>
    <x v="44"/>
    <x v="1"/>
    <x v="2"/>
    <x v="5"/>
    <x v="2"/>
    <x v="0"/>
    <x v="113"/>
    <x v="84"/>
    <n v="940.54"/>
  </r>
  <r>
    <x v="117"/>
    <x v="95"/>
    <x v="1"/>
    <x v="3"/>
    <x v="4"/>
    <x v="3"/>
    <x v="2"/>
    <x v="114"/>
    <x v="85"/>
    <n v="2717.91"/>
  </r>
  <r>
    <x v="118"/>
    <x v="96"/>
    <x v="1"/>
    <x v="1"/>
    <x v="9"/>
    <x v="3"/>
    <x v="0"/>
    <x v="115"/>
    <x v="85"/>
    <n v="1714.05"/>
  </r>
  <r>
    <x v="119"/>
    <x v="97"/>
    <x v="1"/>
    <x v="0"/>
    <x v="3"/>
    <x v="1"/>
    <x v="0"/>
    <x v="116"/>
    <x v="43"/>
    <n v="176.88"/>
  </r>
  <r>
    <x v="120"/>
    <x v="98"/>
    <x v="4"/>
    <x v="0"/>
    <x v="8"/>
    <x v="3"/>
    <x v="2"/>
    <x v="117"/>
    <x v="76"/>
    <n v="3094"/>
  </r>
  <r>
    <x v="121"/>
    <x v="99"/>
    <x v="5"/>
    <x v="3"/>
    <x v="6"/>
    <x v="3"/>
    <x v="2"/>
    <x v="118"/>
    <x v="86"/>
    <n v="2891.88"/>
  </r>
  <r>
    <x v="122"/>
    <x v="100"/>
    <x v="1"/>
    <x v="0"/>
    <x v="7"/>
    <x v="3"/>
    <x v="0"/>
    <x v="119"/>
    <x v="70"/>
    <n v="1760"/>
  </r>
  <r>
    <x v="123"/>
    <x v="101"/>
    <x v="4"/>
    <x v="1"/>
    <x v="9"/>
    <x v="3"/>
    <x v="1"/>
    <x v="120"/>
    <x v="33"/>
    <n v="960.86"/>
  </r>
  <r>
    <x v="124"/>
    <x v="38"/>
    <x v="4"/>
    <x v="3"/>
    <x v="2"/>
    <x v="1"/>
    <x v="0"/>
    <x v="121"/>
    <x v="17"/>
    <n v="278.12"/>
  </r>
  <r>
    <x v="125"/>
    <x v="102"/>
    <x v="3"/>
    <x v="1"/>
    <x v="7"/>
    <x v="3"/>
    <x v="0"/>
    <x v="122"/>
    <x v="80"/>
    <n v="232.02"/>
  </r>
  <r>
    <x v="126"/>
    <x v="43"/>
    <x v="0"/>
    <x v="1"/>
    <x v="5"/>
    <x v="2"/>
    <x v="2"/>
    <x v="123"/>
    <x v="87"/>
    <n v="1117.2"/>
  </r>
  <r>
    <x v="127"/>
    <x v="103"/>
    <x v="5"/>
    <x v="1"/>
    <x v="0"/>
    <x v="0"/>
    <x v="2"/>
    <x v="124"/>
    <x v="88"/>
    <n v="160.91999999999999"/>
  </r>
  <r>
    <x v="128"/>
    <x v="104"/>
    <x v="1"/>
    <x v="0"/>
    <x v="6"/>
    <x v="3"/>
    <x v="1"/>
    <x v="125"/>
    <x v="42"/>
    <n v="306.29000000000002"/>
  </r>
  <r>
    <x v="129"/>
    <x v="105"/>
    <x v="5"/>
    <x v="4"/>
    <x v="2"/>
    <x v="2"/>
    <x v="2"/>
    <x v="126"/>
    <x v="89"/>
    <n v="2801.04"/>
  </r>
  <r>
    <x v="130"/>
    <x v="84"/>
    <x v="6"/>
    <x v="1"/>
    <x v="5"/>
    <x v="3"/>
    <x v="1"/>
    <x v="127"/>
    <x v="69"/>
    <n v="1645.52"/>
  </r>
  <r>
    <x v="131"/>
    <x v="106"/>
    <x v="4"/>
    <x v="2"/>
    <x v="4"/>
    <x v="3"/>
    <x v="2"/>
    <x v="128"/>
    <x v="90"/>
    <n v="543.66"/>
  </r>
  <r>
    <x v="132"/>
    <x v="107"/>
    <x v="0"/>
    <x v="5"/>
    <x v="4"/>
    <x v="3"/>
    <x v="1"/>
    <x v="129"/>
    <x v="48"/>
    <n v="42.55"/>
  </r>
  <r>
    <x v="133"/>
    <x v="62"/>
    <x v="0"/>
    <x v="1"/>
    <x v="2"/>
    <x v="3"/>
    <x v="2"/>
    <x v="130"/>
    <x v="91"/>
    <n v="1359.66"/>
  </r>
  <r>
    <x v="134"/>
    <x v="108"/>
    <x v="3"/>
    <x v="1"/>
    <x v="1"/>
    <x v="0"/>
    <x v="2"/>
    <x v="131"/>
    <x v="92"/>
    <n v="4038.81"/>
  </r>
  <r>
    <x v="135"/>
    <x v="51"/>
    <x v="5"/>
    <x v="3"/>
    <x v="1"/>
    <x v="0"/>
    <x v="2"/>
    <x v="132"/>
    <x v="93"/>
    <n v="1217.1600000000001"/>
  </r>
  <r>
    <x v="136"/>
    <x v="109"/>
    <x v="0"/>
    <x v="2"/>
    <x v="8"/>
    <x v="1"/>
    <x v="0"/>
    <x v="133"/>
    <x v="94"/>
    <n v="833.04"/>
  </r>
  <r>
    <x v="137"/>
    <x v="110"/>
    <x v="6"/>
    <x v="5"/>
    <x v="5"/>
    <x v="1"/>
    <x v="2"/>
    <x v="134"/>
    <x v="84"/>
    <n v="116.85"/>
  </r>
  <r>
    <x v="138"/>
    <x v="31"/>
    <x v="6"/>
    <x v="5"/>
    <x v="6"/>
    <x v="2"/>
    <x v="0"/>
    <x v="135"/>
    <x v="58"/>
    <n v="1841.84"/>
  </r>
  <r>
    <x v="139"/>
    <x v="111"/>
    <x v="5"/>
    <x v="5"/>
    <x v="8"/>
    <x v="1"/>
    <x v="0"/>
    <x v="5"/>
    <x v="95"/>
    <n v="950.3"/>
  </r>
  <r>
    <x v="140"/>
    <x v="52"/>
    <x v="0"/>
    <x v="0"/>
    <x v="6"/>
    <x v="3"/>
    <x v="1"/>
    <x v="136"/>
    <x v="96"/>
    <n v="1400.4"/>
  </r>
  <r>
    <x v="141"/>
    <x v="42"/>
    <x v="6"/>
    <x v="0"/>
    <x v="4"/>
    <x v="1"/>
    <x v="1"/>
    <x v="137"/>
    <x v="97"/>
    <n v="550.20000000000005"/>
  </r>
  <r>
    <x v="142"/>
    <x v="10"/>
    <x v="0"/>
    <x v="4"/>
    <x v="1"/>
    <x v="0"/>
    <x v="1"/>
    <x v="138"/>
    <x v="98"/>
    <n v="1632.8"/>
  </r>
  <r>
    <x v="143"/>
    <x v="112"/>
    <x v="4"/>
    <x v="0"/>
    <x v="5"/>
    <x v="0"/>
    <x v="1"/>
    <x v="139"/>
    <x v="99"/>
    <n v="2106.83"/>
  </r>
  <r>
    <x v="144"/>
    <x v="113"/>
    <x v="5"/>
    <x v="0"/>
    <x v="8"/>
    <x v="0"/>
    <x v="1"/>
    <x v="18"/>
    <x v="52"/>
    <n v="3600.67"/>
  </r>
  <r>
    <x v="145"/>
    <x v="114"/>
    <x v="0"/>
    <x v="5"/>
    <x v="9"/>
    <x v="3"/>
    <x v="2"/>
    <x v="140"/>
    <x v="44"/>
    <n v="2055.6999999999998"/>
  </r>
  <r>
    <x v="146"/>
    <x v="115"/>
    <x v="6"/>
    <x v="4"/>
    <x v="3"/>
    <x v="2"/>
    <x v="0"/>
    <x v="141"/>
    <x v="36"/>
    <n v="340.4"/>
  </r>
  <r>
    <x v="147"/>
    <x v="116"/>
    <x v="4"/>
    <x v="4"/>
    <x v="0"/>
    <x v="3"/>
    <x v="2"/>
    <x v="142"/>
    <x v="8"/>
    <n v="2181.63"/>
  </r>
  <r>
    <x v="148"/>
    <x v="18"/>
    <x v="0"/>
    <x v="1"/>
    <x v="4"/>
    <x v="2"/>
    <x v="1"/>
    <x v="143"/>
    <x v="100"/>
    <n v="1183.8399999999999"/>
  </r>
  <r>
    <x v="149"/>
    <x v="22"/>
    <x v="2"/>
    <x v="5"/>
    <x v="9"/>
    <x v="3"/>
    <x v="2"/>
    <x v="144"/>
    <x v="101"/>
    <n v="79.87"/>
  </r>
  <r>
    <x v="150"/>
    <x v="117"/>
    <x v="3"/>
    <x v="5"/>
    <x v="0"/>
    <x v="2"/>
    <x v="0"/>
    <x v="85"/>
    <x v="71"/>
    <n v="1535.2"/>
  </r>
  <r>
    <x v="151"/>
    <x v="22"/>
    <x v="5"/>
    <x v="2"/>
    <x v="9"/>
    <x v="2"/>
    <x v="2"/>
    <x v="145"/>
    <x v="102"/>
    <n v="712.8"/>
  </r>
  <r>
    <x v="152"/>
    <x v="118"/>
    <x v="3"/>
    <x v="2"/>
    <x v="4"/>
    <x v="2"/>
    <x v="0"/>
    <x v="146"/>
    <x v="103"/>
    <n v="2983.68"/>
  </r>
  <r>
    <x v="153"/>
    <x v="58"/>
    <x v="4"/>
    <x v="1"/>
    <x v="7"/>
    <x v="2"/>
    <x v="1"/>
    <x v="147"/>
    <x v="104"/>
    <n v="245.1"/>
  </r>
  <r>
    <x v="154"/>
    <x v="119"/>
    <x v="4"/>
    <x v="4"/>
    <x v="7"/>
    <x v="1"/>
    <x v="2"/>
    <x v="148"/>
    <x v="105"/>
    <n v="2952.96"/>
  </r>
  <r>
    <x v="155"/>
    <x v="120"/>
    <x v="4"/>
    <x v="5"/>
    <x v="1"/>
    <x v="2"/>
    <x v="1"/>
    <x v="149"/>
    <x v="106"/>
    <n v="351.54"/>
  </r>
  <r>
    <x v="156"/>
    <x v="121"/>
    <x v="1"/>
    <x v="3"/>
    <x v="7"/>
    <x v="2"/>
    <x v="0"/>
    <x v="125"/>
    <x v="46"/>
    <n v="399.02"/>
  </r>
  <r>
    <x v="157"/>
    <x v="122"/>
    <x v="1"/>
    <x v="5"/>
    <x v="0"/>
    <x v="3"/>
    <x v="1"/>
    <x v="150"/>
    <x v="107"/>
    <n v="2100"/>
  </r>
  <r>
    <x v="158"/>
    <x v="91"/>
    <x v="0"/>
    <x v="1"/>
    <x v="0"/>
    <x v="1"/>
    <x v="0"/>
    <x v="151"/>
    <x v="54"/>
    <n v="3315.2"/>
  </r>
  <r>
    <x v="159"/>
    <x v="61"/>
    <x v="5"/>
    <x v="3"/>
    <x v="6"/>
    <x v="0"/>
    <x v="1"/>
    <x v="152"/>
    <x v="50"/>
    <n v="1882.72"/>
  </r>
  <r>
    <x v="160"/>
    <x v="123"/>
    <x v="1"/>
    <x v="2"/>
    <x v="0"/>
    <x v="0"/>
    <x v="2"/>
    <x v="153"/>
    <x v="108"/>
    <n v="1224.8499999999999"/>
  </r>
  <r>
    <x v="161"/>
    <x v="124"/>
    <x v="5"/>
    <x v="1"/>
    <x v="1"/>
    <x v="0"/>
    <x v="2"/>
    <x v="154"/>
    <x v="55"/>
    <n v="2115.75"/>
  </r>
  <r>
    <x v="162"/>
    <x v="125"/>
    <x v="2"/>
    <x v="3"/>
    <x v="4"/>
    <x v="1"/>
    <x v="0"/>
    <x v="155"/>
    <x v="109"/>
    <n v="614.9"/>
  </r>
  <r>
    <x v="163"/>
    <x v="126"/>
    <x v="3"/>
    <x v="4"/>
    <x v="6"/>
    <x v="2"/>
    <x v="0"/>
    <x v="156"/>
    <x v="81"/>
    <n v="872.02"/>
  </r>
  <r>
    <x v="164"/>
    <x v="127"/>
    <x v="0"/>
    <x v="0"/>
    <x v="6"/>
    <x v="3"/>
    <x v="1"/>
    <x v="157"/>
    <x v="110"/>
    <n v="1120.42"/>
  </r>
  <r>
    <x v="165"/>
    <x v="128"/>
    <x v="2"/>
    <x v="2"/>
    <x v="9"/>
    <x v="2"/>
    <x v="1"/>
    <x v="158"/>
    <x v="111"/>
    <n v="1221.3599999999999"/>
  </r>
  <r>
    <x v="166"/>
    <x v="129"/>
    <x v="1"/>
    <x v="1"/>
    <x v="0"/>
    <x v="0"/>
    <x v="1"/>
    <x v="159"/>
    <x v="87"/>
    <n v="1151.97"/>
  </r>
  <r>
    <x v="167"/>
    <x v="130"/>
    <x v="1"/>
    <x v="4"/>
    <x v="5"/>
    <x v="0"/>
    <x v="0"/>
    <x v="160"/>
    <x v="112"/>
    <n v="3127.44"/>
  </r>
  <r>
    <x v="168"/>
    <x v="131"/>
    <x v="5"/>
    <x v="2"/>
    <x v="5"/>
    <x v="1"/>
    <x v="2"/>
    <x v="161"/>
    <x v="113"/>
    <n v="675.51"/>
  </r>
  <r>
    <x v="169"/>
    <x v="26"/>
    <x v="3"/>
    <x v="4"/>
    <x v="9"/>
    <x v="0"/>
    <x v="0"/>
    <x v="162"/>
    <x v="114"/>
    <n v="141.75"/>
  </r>
  <r>
    <x v="170"/>
    <x v="54"/>
    <x v="1"/>
    <x v="3"/>
    <x v="8"/>
    <x v="2"/>
    <x v="0"/>
    <x v="163"/>
    <x v="55"/>
    <n v="2796.3"/>
  </r>
  <r>
    <x v="171"/>
    <x v="80"/>
    <x v="3"/>
    <x v="1"/>
    <x v="9"/>
    <x v="2"/>
    <x v="2"/>
    <x v="164"/>
    <x v="115"/>
    <n v="658.35"/>
  </r>
  <r>
    <x v="172"/>
    <x v="12"/>
    <x v="6"/>
    <x v="3"/>
    <x v="1"/>
    <x v="1"/>
    <x v="2"/>
    <x v="165"/>
    <x v="116"/>
    <n v="483.8"/>
  </r>
  <r>
    <x v="173"/>
    <x v="132"/>
    <x v="1"/>
    <x v="4"/>
    <x v="3"/>
    <x v="0"/>
    <x v="1"/>
    <x v="166"/>
    <x v="36"/>
    <n v="528.30999999999995"/>
  </r>
  <r>
    <x v="174"/>
    <x v="129"/>
    <x v="2"/>
    <x v="1"/>
    <x v="7"/>
    <x v="3"/>
    <x v="0"/>
    <x v="167"/>
    <x v="117"/>
    <n v="1451.23"/>
  </r>
  <r>
    <x v="175"/>
    <x v="112"/>
    <x v="2"/>
    <x v="3"/>
    <x v="6"/>
    <x v="1"/>
    <x v="0"/>
    <x v="168"/>
    <x v="2"/>
    <n v="1224.76"/>
  </r>
  <r>
    <x v="176"/>
    <x v="29"/>
    <x v="5"/>
    <x v="0"/>
    <x v="1"/>
    <x v="3"/>
    <x v="1"/>
    <x v="169"/>
    <x v="25"/>
    <n v="3248.5"/>
  </r>
  <r>
    <x v="177"/>
    <x v="133"/>
    <x v="6"/>
    <x v="3"/>
    <x v="6"/>
    <x v="2"/>
    <x v="2"/>
    <x v="170"/>
    <x v="8"/>
    <n v="1225.73"/>
  </r>
  <r>
    <x v="178"/>
    <x v="33"/>
    <x v="3"/>
    <x v="5"/>
    <x v="8"/>
    <x v="1"/>
    <x v="1"/>
    <x v="62"/>
    <x v="107"/>
    <n v="1746"/>
  </r>
  <r>
    <x v="179"/>
    <x v="134"/>
    <x v="5"/>
    <x v="5"/>
    <x v="7"/>
    <x v="0"/>
    <x v="0"/>
    <x v="171"/>
    <x v="118"/>
    <n v="133.4"/>
  </r>
  <r>
    <x v="180"/>
    <x v="135"/>
    <x v="2"/>
    <x v="4"/>
    <x v="6"/>
    <x v="3"/>
    <x v="2"/>
    <x v="172"/>
    <x v="54"/>
    <n v="2323.6"/>
  </r>
  <r>
    <x v="181"/>
    <x v="136"/>
    <x v="4"/>
    <x v="5"/>
    <x v="9"/>
    <x v="2"/>
    <x v="0"/>
    <x v="173"/>
    <x v="119"/>
    <n v="2675.84"/>
  </r>
  <r>
    <x v="182"/>
    <x v="137"/>
    <x v="2"/>
    <x v="0"/>
    <x v="5"/>
    <x v="3"/>
    <x v="1"/>
    <x v="174"/>
    <x v="53"/>
    <n v="1582.32"/>
  </r>
  <r>
    <x v="183"/>
    <x v="138"/>
    <x v="0"/>
    <x v="2"/>
    <x v="4"/>
    <x v="0"/>
    <x v="2"/>
    <x v="175"/>
    <x v="72"/>
    <n v="1525.86"/>
  </r>
  <r>
    <x v="184"/>
    <x v="139"/>
    <x v="2"/>
    <x v="5"/>
    <x v="2"/>
    <x v="1"/>
    <x v="0"/>
    <x v="176"/>
    <x v="120"/>
    <n v="4006.52"/>
  </r>
  <r>
    <x v="185"/>
    <x v="140"/>
    <x v="1"/>
    <x v="0"/>
    <x v="4"/>
    <x v="2"/>
    <x v="2"/>
    <x v="47"/>
    <x v="121"/>
    <n v="1544.68"/>
  </r>
  <r>
    <x v="186"/>
    <x v="141"/>
    <x v="2"/>
    <x v="5"/>
    <x v="1"/>
    <x v="1"/>
    <x v="1"/>
    <x v="177"/>
    <x v="84"/>
    <n v="108.24"/>
  </r>
  <r>
    <x v="187"/>
    <x v="42"/>
    <x v="5"/>
    <x v="1"/>
    <x v="0"/>
    <x v="3"/>
    <x v="2"/>
    <x v="178"/>
    <x v="122"/>
    <n v="682.36"/>
  </r>
  <r>
    <x v="188"/>
    <x v="124"/>
    <x v="0"/>
    <x v="5"/>
    <x v="7"/>
    <x v="1"/>
    <x v="1"/>
    <x v="179"/>
    <x v="40"/>
    <n v="1006.83"/>
  </r>
  <r>
    <x v="189"/>
    <x v="142"/>
    <x v="1"/>
    <x v="5"/>
    <x v="6"/>
    <x v="2"/>
    <x v="2"/>
    <x v="180"/>
    <x v="52"/>
    <n v="984.52"/>
  </r>
  <r>
    <x v="190"/>
    <x v="143"/>
    <x v="6"/>
    <x v="3"/>
    <x v="4"/>
    <x v="0"/>
    <x v="0"/>
    <x v="181"/>
    <x v="123"/>
    <n v="1926.4"/>
  </r>
  <r>
    <x v="191"/>
    <x v="144"/>
    <x v="0"/>
    <x v="5"/>
    <x v="3"/>
    <x v="3"/>
    <x v="0"/>
    <x v="182"/>
    <x v="113"/>
    <n v="338.91"/>
  </r>
  <r>
    <x v="192"/>
    <x v="145"/>
    <x v="6"/>
    <x v="1"/>
    <x v="9"/>
    <x v="1"/>
    <x v="1"/>
    <x v="50"/>
    <x v="74"/>
    <n v="575.84"/>
  </r>
  <r>
    <x v="193"/>
    <x v="76"/>
    <x v="4"/>
    <x v="4"/>
    <x v="4"/>
    <x v="2"/>
    <x v="1"/>
    <x v="183"/>
    <x v="102"/>
    <n v="950.8"/>
  </r>
  <r>
    <x v="194"/>
    <x v="146"/>
    <x v="3"/>
    <x v="0"/>
    <x v="1"/>
    <x v="0"/>
    <x v="0"/>
    <x v="184"/>
    <x v="124"/>
    <n v="1574.35"/>
  </r>
  <r>
    <x v="195"/>
    <x v="46"/>
    <x v="1"/>
    <x v="3"/>
    <x v="9"/>
    <x v="3"/>
    <x v="1"/>
    <x v="185"/>
    <x v="71"/>
    <n v="2018.75"/>
  </r>
  <r>
    <x v="196"/>
    <x v="5"/>
    <x v="2"/>
    <x v="3"/>
    <x v="3"/>
    <x v="3"/>
    <x v="0"/>
    <x v="114"/>
    <x v="125"/>
    <n v="1974.55"/>
  </r>
  <r>
    <x v="197"/>
    <x v="0"/>
    <x v="6"/>
    <x v="2"/>
    <x v="7"/>
    <x v="0"/>
    <x v="0"/>
    <x v="186"/>
    <x v="17"/>
    <n v="404.6"/>
  </r>
  <r>
    <x v="198"/>
    <x v="5"/>
    <x v="1"/>
    <x v="3"/>
    <x v="6"/>
    <x v="0"/>
    <x v="2"/>
    <x v="126"/>
    <x v="20"/>
    <n v="2058.34"/>
  </r>
  <r>
    <x v="199"/>
    <x v="94"/>
    <x v="6"/>
    <x v="4"/>
    <x v="7"/>
    <x v="0"/>
    <x v="2"/>
    <x v="187"/>
    <x v="126"/>
    <n v="287.75"/>
  </r>
  <r>
    <x v="200"/>
    <x v="147"/>
    <x v="1"/>
    <x v="1"/>
    <x v="2"/>
    <x v="0"/>
    <x v="2"/>
    <x v="188"/>
    <x v="117"/>
    <n v="704.74"/>
  </r>
  <r>
    <x v="201"/>
    <x v="141"/>
    <x v="4"/>
    <x v="0"/>
    <x v="0"/>
    <x v="1"/>
    <x v="1"/>
    <x v="189"/>
    <x v="127"/>
    <n v="3207.9"/>
  </r>
  <r>
    <x v="202"/>
    <x v="119"/>
    <x v="3"/>
    <x v="5"/>
    <x v="6"/>
    <x v="0"/>
    <x v="0"/>
    <x v="190"/>
    <x v="128"/>
    <n v="1103.46"/>
  </r>
  <r>
    <x v="203"/>
    <x v="14"/>
    <x v="4"/>
    <x v="1"/>
    <x v="8"/>
    <x v="2"/>
    <x v="0"/>
    <x v="191"/>
    <x v="129"/>
    <n v="1928.06"/>
  </r>
  <r>
    <x v="204"/>
    <x v="38"/>
    <x v="6"/>
    <x v="3"/>
    <x v="4"/>
    <x v="2"/>
    <x v="0"/>
    <x v="192"/>
    <x v="130"/>
    <n v="129.80000000000001"/>
  </r>
  <r>
    <x v="205"/>
    <x v="148"/>
    <x v="0"/>
    <x v="3"/>
    <x v="8"/>
    <x v="1"/>
    <x v="1"/>
    <x v="193"/>
    <x v="36"/>
    <n v="239.66"/>
  </r>
  <r>
    <x v="206"/>
    <x v="149"/>
    <x v="5"/>
    <x v="2"/>
    <x v="3"/>
    <x v="3"/>
    <x v="2"/>
    <x v="194"/>
    <x v="131"/>
    <n v="509.04"/>
  </r>
  <r>
    <x v="207"/>
    <x v="50"/>
    <x v="1"/>
    <x v="3"/>
    <x v="3"/>
    <x v="0"/>
    <x v="2"/>
    <x v="195"/>
    <x v="0"/>
    <n v="2904.18"/>
  </r>
  <r>
    <x v="208"/>
    <x v="150"/>
    <x v="1"/>
    <x v="3"/>
    <x v="6"/>
    <x v="2"/>
    <x v="0"/>
    <x v="196"/>
    <x v="132"/>
    <n v="567.6"/>
  </r>
  <r>
    <x v="209"/>
    <x v="134"/>
    <x v="1"/>
    <x v="0"/>
    <x v="8"/>
    <x v="3"/>
    <x v="0"/>
    <x v="197"/>
    <x v="82"/>
    <n v="678.65"/>
  </r>
  <r>
    <x v="210"/>
    <x v="79"/>
    <x v="0"/>
    <x v="4"/>
    <x v="1"/>
    <x v="3"/>
    <x v="2"/>
    <x v="198"/>
    <x v="133"/>
    <n v="1589.56"/>
  </r>
  <r>
    <x v="211"/>
    <x v="151"/>
    <x v="5"/>
    <x v="4"/>
    <x v="6"/>
    <x v="2"/>
    <x v="1"/>
    <x v="199"/>
    <x v="134"/>
    <n v="2647.7"/>
  </r>
  <r>
    <x v="212"/>
    <x v="152"/>
    <x v="0"/>
    <x v="5"/>
    <x v="3"/>
    <x v="0"/>
    <x v="2"/>
    <x v="200"/>
    <x v="38"/>
    <n v="1367.52"/>
  </r>
  <r>
    <x v="213"/>
    <x v="36"/>
    <x v="0"/>
    <x v="4"/>
    <x v="1"/>
    <x v="0"/>
    <x v="0"/>
    <x v="201"/>
    <x v="84"/>
    <n v="640.01"/>
  </r>
  <r>
    <x v="214"/>
    <x v="25"/>
    <x v="2"/>
    <x v="3"/>
    <x v="7"/>
    <x v="0"/>
    <x v="0"/>
    <x v="202"/>
    <x v="66"/>
    <n v="1983.24"/>
  </r>
  <r>
    <x v="215"/>
    <x v="82"/>
    <x v="5"/>
    <x v="1"/>
    <x v="6"/>
    <x v="3"/>
    <x v="0"/>
    <x v="203"/>
    <x v="0"/>
    <n v="4103.1000000000004"/>
  </r>
  <r>
    <x v="216"/>
    <x v="153"/>
    <x v="3"/>
    <x v="0"/>
    <x v="7"/>
    <x v="3"/>
    <x v="1"/>
    <x v="204"/>
    <x v="66"/>
    <n v="244.44"/>
  </r>
  <r>
    <x v="217"/>
    <x v="154"/>
    <x v="1"/>
    <x v="4"/>
    <x v="6"/>
    <x v="1"/>
    <x v="0"/>
    <x v="205"/>
    <x v="135"/>
    <n v="1100"/>
  </r>
  <r>
    <x v="218"/>
    <x v="155"/>
    <x v="3"/>
    <x v="1"/>
    <x v="1"/>
    <x v="0"/>
    <x v="1"/>
    <x v="206"/>
    <x v="52"/>
    <n v="3621.86"/>
  </r>
  <r>
    <x v="219"/>
    <x v="99"/>
    <x v="4"/>
    <x v="0"/>
    <x v="8"/>
    <x v="1"/>
    <x v="2"/>
    <x v="194"/>
    <x v="120"/>
    <n v="3478.44"/>
  </r>
  <r>
    <x v="220"/>
    <x v="156"/>
    <x v="6"/>
    <x v="1"/>
    <x v="4"/>
    <x v="3"/>
    <x v="1"/>
    <x v="207"/>
    <x v="57"/>
    <n v="1151.8"/>
  </r>
  <r>
    <x v="221"/>
    <x v="111"/>
    <x v="4"/>
    <x v="0"/>
    <x v="7"/>
    <x v="3"/>
    <x v="2"/>
    <x v="208"/>
    <x v="78"/>
    <n v="985"/>
  </r>
  <r>
    <x v="222"/>
    <x v="93"/>
    <x v="2"/>
    <x v="3"/>
    <x v="5"/>
    <x v="0"/>
    <x v="0"/>
    <x v="209"/>
    <x v="115"/>
    <n v="2661.33"/>
  </r>
  <r>
    <x v="223"/>
    <x v="157"/>
    <x v="5"/>
    <x v="3"/>
    <x v="7"/>
    <x v="1"/>
    <x v="0"/>
    <x v="210"/>
    <x v="80"/>
    <n v="398.52"/>
  </r>
  <r>
    <x v="224"/>
    <x v="158"/>
    <x v="1"/>
    <x v="0"/>
    <x v="4"/>
    <x v="3"/>
    <x v="0"/>
    <x v="211"/>
    <x v="38"/>
    <n v="1667.05"/>
  </r>
  <r>
    <x v="225"/>
    <x v="159"/>
    <x v="3"/>
    <x v="3"/>
    <x v="7"/>
    <x v="1"/>
    <x v="2"/>
    <x v="212"/>
    <x v="122"/>
    <n v="593.6"/>
  </r>
  <r>
    <x v="226"/>
    <x v="160"/>
    <x v="3"/>
    <x v="3"/>
    <x v="6"/>
    <x v="2"/>
    <x v="1"/>
    <x v="213"/>
    <x v="107"/>
    <n v="1142"/>
  </r>
  <r>
    <x v="227"/>
    <x v="161"/>
    <x v="4"/>
    <x v="5"/>
    <x v="7"/>
    <x v="0"/>
    <x v="1"/>
    <x v="214"/>
    <x v="97"/>
    <n v="290.10000000000002"/>
  </r>
  <r>
    <x v="228"/>
    <x v="123"/>
    <x v="5"/>
    <x v="0"/>
    <x v="8"/>
    <x v="3"/>
    <x v="0"/>
    <x v="215"/>
    <x v="78"/>
    <n v="1118.75"/>
  </r>
  <r>
    <x v="229"/>
    <x v="162"/>
    <x v="0"/>
    <x v="0"/>
    <x v="5"/>
    <x v="3"/>
    <x v="1"/>
    <x v="216"/>
    <x v="114"/>
    <n v="205.92"/>
  </r>
  <r>
    <x v="230"/>
    <x v="163"/>
    <x v="1"/>
    <x v="0"/>
    <x v="1"/>
    <x v="3"/>
    <x v="1"/>
    <x v="217"/>
    <x v="136"/>
    <n v="282.60000000000002"/>
  </r>
  <r>
    <x v="231"/>
    <x v="164"/>
    <x v="2"/>
    <x v="1"/>
    <x v="9"/>
    <x v="0"/>
    <x v="0"/>
    <x v="218"/>
    <x v="89"/>
    <n v="2815.56"/>
  </r>
  <r>
    <x v="232"/>
    <x v="165"/>
    <x v="2"/>
    <x v="4"/>
    <x v="0"/>
    <x v="3"/>
    <x v="1"/>
    <x v="219"/>
    <x v="48"/>
    <n v="45.25"/>
  </r>
  <r>
    <x v="233"/>
    <x v="136"/>
    <x v="0"/>
    <x v="2"/>
    <x v="2"/>
    <x v="1"/>
    <x v="2"/>
    <x v="220"/>
    <x v="137"/>
    <n v="2436.67"/>
  </r>
  <r>
    <x v="234"/>
    <x v="166"/>
    <x v="0"/>
    <x v="4"/>
    <x v="9"/>
    <x v="2"/>
    <x v="1"/>
    <x v="221"/>
    <x v="61"/>
    <n v="361.92"/>
  </r>
  <r>
    <x v="235"/>
    <x v="167"/>
    <x v="5"/>
    <x v="2"/>
    <x v="3"/>
    <x v="2"/>
    <x v="1"/>
    <x v="222"/>
    <x v="138"/>
    <n v="1371.89"/>
  </r>
  <r>
    <x v="236"/>
    <x v="51"/>
    <x v="4"/>
    <x v="5"/>
    <x v="5"/>
    <x v="3"/>
    <x v="0"/>
    <x v="223"/>
    <x v="139"/>
    <n v="949.13"/>
  </r>
  <r>
    <x v="237"/>
    <x v="168"/>
    <x v="1"/>
    <x v="5"/>
    <x v="8"/>
    <x v="1"/>
    <x v="2"/>
    <x v="224"/>
    <x v="90"/>
    <n v="651.69000000000005"/>
  </r>
  <r>
    <x v="238"/>
    <x v="169"/>
    <x v="1"/>
    <x v="4"/>
    <x v="4"/>
    <x v="3"/>
    <x v="0"/>
    <x v="225"/>
    <x v="140"/>
    <n v="195.44"/>
  </r>
  <r>
    <x v="239"/>
    <x v="27"/>
    <x v="5"/>
    <x v="0"/>
    <x v="4"/>
    <x v="2"/>
    <x v="1"/>
    <x v="226"/>
    <x v="141"/>
    <n v="1615.4"/>
  </r>
  <r>
    <x v="240"/>
    <x v="125"/>
    <x v="4"/>
    <x v="4"/>
    <x v="1"/>
    <x v="3"/>
    <x v="0"/>
    <x v="227"/>
    <x v="136"/>
    <n v="358.92"/>
  </r>
  <r>
    <x v="241"/>
    <x v="170"/>
    <x v="0"/>
    <x v="0"/>
    <x v="8"/>
    <x v="3"/>
    <x v="2"/>
    <x v="228"/>
    <x v="16"/>
    <n v="2330.89"/>
  </r>
  <r>
    <x v="242"/>
    <x v="171"/>
    <x v="5"/>
    <x v="3"/>
    <x v="6"/>
    <x v="3"/>
    <x v="0"/>
    <x v="53"/>
    <x v="21"/>
    <n v="221"/>
  </r>
  <r>
    <x v="243"/>
    <x v="99"/>
    <x v="1"/>
    <x v="2"/>
    <x v="7"/>
    <x v="2"/>
    <x v="2"/>
    <x v="229"/>
    <x v="142"/>
    <n v="1284.99"/>
  </r>
  <r>
    <x v="244"/>
    <x v="62"/>
    <x v="3"/>
    <x v="5"/>
    <x v="8"/>
    <x v="2"/>
    <x v="2"/>
    <x v="230"/>
    <x v="39"/>
    <n v="1830.84"/>
  </r>
  <r>
    <x v="245"/>
    <x v="45"/>
    <x v="2"/>
    <x v="3"/>
    <x v="4"/>
    <x v="1"/>
    <x v="1"/>
    <x v="231"/>
    <x v="71"/>
    <n v="1790.75"/>
  </r>
  <r>
    <x v="246"/>
    <x v="172"/>
    <x v="2"/>
    <x v="5"/>
    <x v="5"/>
    <x v="1"/>
    <x v="1"/>
    <x v="232"/>
    <x v="133"/>
    <n v="1650.32"/>
  </r>
  <r>
    <x v="247"/>
    <x v="173"/>
    <x v="1"/>
    <x v="0"/>
    <x v="6"/>
    <x v="0"/>
    <x v="0"/>
    <x v="200"/>
    <x v="85"/>
    <n v="2077.92"/>
  </r>
  <r>
    <x v="248"/>
    <x v="174"/>
    <x v="1"/>
    <x v="1"/>
    <x v="5"/>
    <x v="3"/>
    <x v="2"/>
    <x v="233"/>
    <x v="12"/>
    <n v="1597.5"/>
  </r>
  <r>
    <x v="249"/>
    <x v="175"/>
    <x v="2"/>
    <x v="0"/>
    <x v="2"/>
    <x v="2"/>
    <x v="2"/>
    <x v="234"/>
    <x v="131"/>
    <n v="299.76"/>
  </r>
  <r>
    <x v="250"/>
    <x v="33"/>
    <x v="1"/>
    <x v="2"/>
    <x v="5"/>
    <x v="3"/>
    <x v="0"/>
    <x v="235"/>
    <x v="143"/>
    <n v="1164.1600000000001"/>
  </r>
  <r>
    <x v="251"/>
    <x v="176"/>
    <x v="0"/>
    <x v="4"/>
    <x v="8"/>
    <x v="0"/>
    <x v="0"/>
    <x v="236"/>
    <x v="144"/>
    <n v="806.75"/>
  </r>
  <r>
    <x v="252"/>
    <x v="177"/>
    <x v="3"/>
    <x v="2"/>
    <x v="5"/>
    <x v="1"/>
    <x v="2"/>
    <x v="237"/>
    <x v="109"/>
    <n v="2354.3000000000002"/>
  </r>
  <r>
    <x v="253"/>
    <x v="178"/>
    <x v="1"/>
    <x v="5"/>
    <x v="7"/>
    <x v="2"/>
    <x v="0"/>
    <x v="238"/>
    <x v="81"/>
    <n v="2680.96"/>
  </r>
  <r>
    <x v="254"/>
    <x v="11"/>
    <x v="0"/>
    <x v="0"/>
    <x v="5"/>
    <x v="2"/>
    <x v="0"/>
    <x v="239"/>
    <x v="145"/>
    <n v="1174.73"/>
  </r>
  <r>
    <x v="255"/>
    <x v="179"/>
    <x v="4"/>
    <x v="0"/>
    <x v="0"/>
    <x v="3"/>
    <x v="1"/>
    <x v="240"/>
    <x v="140"/>
    <n v="292.88"/>
  </r>
  <r>
    <x v="256"/>
    <x v="180"/>
    <x v="6"/>
    <x v="1"/>
    <x v="5"/>
    <x v="1"/>
    <x v="1"/>
    <x v="195"/>
    <x v="40"/>
    <n v="1482.03"/>
  </r>
  <r>
    <x v="257"/>
    <x v="53"/>
    <x v="5"/>
    <x v="3"/>
    <x v="2"/>
    <x v="3"/>
    <x v="2"/>
    <x v="241"/>
    <x v="146"/>
    <n v="2154.48"/>
  </r>
  <r>
    <x v="258"/>
    <x v="181"/>
    <x v="5"/>
    <x v="2"/>
    <x v="8"/>
    <x v="3"/>
    <x v="0"/>
    <x v="242"/>
    <x v="95"/>
    <n v="357.76"/>
  </r>
  <r>
    <x v="259"/>
    <x v="158"/>
    <x v="5"/>
    <x v="1"/>
    <x v="5"/>
    <x v="0"/>
    <x v="2"/>
    <x v="243"/>
    <x v="25"/>
    <n v="1496.5"/>
  </r>
  <r>
    <x v="260"/>
    <x v="182"/>
    <x v="4"/>
    <x v="2"/>
    <x v="2"/>
    <x v="0"/>
    <x v="2"/>
    <x v="244"/>
    <x v="11"/>
    <n v="436.81"/>
  </r>
  <r>
    <x v="261"/>
    <x v="69"/>
    <x v="3"/>
    <x v="4"/>
    <x v="2"/>
    <x v="2"/>
    <x v="1"/>
    <x v="245"/>
    <x v="147"/>
    <n v="1142.04"/>
  </r>
  <r>
    <x v="262"/>
    <x v="131"/>
    <x v="0"/>
    <x v="0"/>
    <x v="4"/>
    <x v="1"/>
    <x v="0"/>
    <x v="246"/>
    <x v="25"/>
    <n v="1010.32"/>
  </r>
  <r>
    <x v="263"/>
    <x v="183"/>
    <x v="3"/>
    <x v="0"/>
    <x v="3"/>
    <x v="2"/>
    <x v="0"/>
    <x v="247"/>
    <x v="148"/>
    <n v="962.37"/>
  </r>
  <r>
    <x v="264"/>
    <x v="45"/>
    <x v="1"/>
    <x v="2"/>
    <x v="3"/>
    <x v="2"/>
    <x v="0"/>
    <x v="248"/>
    <x v="88"/>
    <n v="252.84"/>
  </r>
  <r>
    <x v="265"/>
    <x v="8"/>
    <x v="2"/>
    <x v="5"/>
    <x v="9"/>
    <x v="3"/>
    <x v="0"/>
    <x v="249"/>
    <x v="149"/>
    <n v="2193.36"/>
  </r>
  <r>
    <x v="266"/>
    <x v="184"/>
    <x v="6"/>
    <x v="0"/>
    <x v="1"/>
    <x v="2"/>
    <x v="2"/>
    <x v="250"/>
    <x v="50"/>
    <n v="739.64"/>
  </r>
  <r>
    <x v="267"/>
    <x v="185"/>
    <x v="6"/>
    <x v="3"/>
    <x v="8"/>
    <x v="3"/>
    <x v="1"/>
    <x v="251"/>
    <x v="150"/>
    <n v="809.55"/>
  </r>
  <r>
    <x v="268"/>
    <x v="186"/>
    <x v="4"/>
    <x v="5"/>
    <x v="7"/>
    <x v="2"/>
    <x v="2"/>
    <x v="252"/>
    <x v="125"/>
    <n v="1372.75"/>
  </r>
  <r>
    <x v="269"/>
    <x v="187"/>
    <x v="2"/>
    <x v="2"/>
    <x v="7"/>
    <x v="0"/>
    <x v="2"/>
    <x v="253"/>
    <x v="151"/>
    <n v="2666.96"/>
  </r>
  <r>
    <x v="270"/>
    <x v="188"/>
    <x v="3"/>
    <x v="2"/>
    <x v="9"/>
    <x v="2"/>
    <x v="2"/>
    <x v="254"/>
    <x v="143"/>
    <n v="579.36"/>
  </r>
  <r>
    <x v="271"/>
    <x v="189"/>
    <x v="4"/>
    <x v="4"/>
    <x v="3"/>
    <x v="2"/>
    <x v="1"/>
    <x v="255"/>
    <x v="150"/>
    <n v="535.95000000000005"/>
  </r>
  <r>
    <x v="272"/>
    <x v="4"/>
    <x v="6"/>
    <x v="3"/>
    <x v="4"/>
    <x v="3"/>
    <x v="1"/>
    <x v="256"/>
    <x v="151"/>
    <n v="1864.56"/>
  </r>
  <r>
    <x v="273"/>
    <x v="190"/>
    <x v="6"/>
    <x v="0"/>
    <x v="0"/>
    <x v="2"/>
    <x v="1"/>
    <x v="183"/>
    <x v="2"/>
    <n v="3185.18"/>
  </r>
  <r>
    <x v="274"/>
    <x v="71"/>
    <x v="4"/>
    <x v="5"/>
    <x v="8"/>
    <x v="2"/>
    <x v="0"/>
    <x v="257"/>
    <x v="112"/>
    <n v="1386.31"/>
  </r>
  <r>
    <x v="275"/>
    <x v="191"/>
    <x v="3"/>
    <x v="4"/>
    <x v="7"/>
    <x v="3"/>
    <x v="2"/>
    <x v="258"/>
    <x v="124"/>
    <n v="2479.4"/>
  </r>
  <r>
    <x v="276"/>
    <x v="86"/>
    <x v="2"/>
    <x v="0"/>
    <x v="7"/>
    <x v="2"/>
    <x v="1"/>
    <x v="187"/>
    <x v="12"/>
    <n v="1726.5"/>
  </r>
  <r>
    <x v="277"/>
    <x v="192"/>
    <x v="2"/>
    <x v="4"/>
    <x v="3"/>
    <x v="1"/>
    <x v="1"/>
    <x v="197"/>
    <x v="76"/>
    <n v="2770"/>
  </r>
  <r>
    <x v="278"/>
    <x v="193"/>
    <x v="2"/>
    <x v="4"/>
    <x v="5"/>
    <x v="0"/>
    <x v="0"/>
    <x v="259"/>
    <x v="139"/>
    <n v="1033.76"/>
  </r>
  <r>
    <x v="279"/>
    <x v="34"/>
    <x v="1"/>
    <x v="2"/>
    <x v="5"/>
    <x v="2"/>
    <x v="2"/>
    <x v="260"/>
    <x v="41"/>
    <n v="172.95"/>
  </r>
  <r>
    <x v="280"/>
    <x v="171"/>
    <x v="2"/>
    <x v="0"/>
    <x v="7"/>
    <x v="2"/>
    <x v="1"/>
    <x v="261"/>
    <x v="123"/>
    <n v="2044.8"/>
  </r>
  <r>
    <x v="281"/>
    <x v="194"/>
    <x v="4"/>
    <x v="4"/>
    <x v="3"/>
    <x v="2"/>
    <x v="0"/>
    <x v="262"/>
    <x v="0"/>
    <n v="4809.26"/>
  </r>
  <r>
    <x v="282"/>
    <x v="34"/>
    <x v="2"/>
    <x v="4"/>
    <x v="8"/>
    <x v="1"/>
    <x v="2"/>
    <x v="263"/>
    <x v="147"/>
    <n v="2693.28"/>
  </r>
  <r>
    <x v="283"/>
    <x v="195"/>
    <x v="2"/>
    <x v="4"/>
    <x v="9"/>
    <x v="3"/>
    <x v="2"/>
    <x v="264"/>
    <x v="149"/>
    <n v="1960.26"/>
  </r>
  <r>
    <x v="284"/>
    <x v="125"/>
    <x v="2"/>
    <x v="0"/>
    <x v="9"/>
    <x v="3"/>
    <x v="1"/>
    <x v="265"/>
    <x v="148"/>
    <n v="3078.36"/>
  </r>
  <r>
    <x v="285"/>
    <x v="196"/>
    <x v="4"/>
    <x v="3"/>
    <x v="5"/>
    <x v="0"/>
    <x v="1"/>
    <x v="266"/>
    <x v="52"/>
    <n v="2713.95"/>
  </r>
  <r>
    <x v="286"/>
    <x v="197"/>
    <x v="3"/>
    <x v="2"/>
    <x v="8"/>
    <x v="2"/>
    <x v="2"/>
    <x v="267"/>
    <x v="113"/>
    <n v="786.39"/>
  </r>
  <r>
    <x v="287"/>
    <x v="65"/>
    <x v="6"/>
    <x v="1"/>
    <x v="3"/>
    <x v="3"/>
    <x v="0"/>
    <x v="268"/>
    <x v="87"/>
    <n v="672.03"/>
  </r>
  <r>
    <x v="288"/>
    <x v="198"/>
    <x v="3"/>
    <x v="1"/>
    <x v="7"/>
    <x v="3"/>
    <x v="0"/>
    <x v="269"/>
    <x v="24"/>
    <n v="2518.06"/>
  </r>
  <r>
    <x v="289"/>
    <x v="199"/>
    <x v="6"/>
    <x v="1"/>
    <x v="7"/>
    <x v="2"/>
    <x v="0"/>
    <x v="270"/>
    <x v="82"/>
    <n v="468.44"/>
  </r>
  <r>
    <x v="290"/>
    <x v="200"/>
    <x v="0"/>
    <x v="1"/>
    <x v="8"/>
    <x v="0"/>
    <x v="1"/>
    <x v="271"/>
    <x v="58"/>
    <n v="3088.54"/>
  </r>
  <r>
    <x v="291"/>
    <x v="72"/>
    <x v="0"/>
    <x v="4"/>
    <x v="0"/>
    <x v="3"/>
    <x v="2"/>
    <x v="272"/>
    <x v="106"/>
    <n v="933.72"/>
  </r>
  <r>
    <x v="292"/>
    <x v="168"/>
    <x v="0"/>
    <x v="4"/>
    <x v="6"/>
    <x v="3"/>
    <x v="2"/>
    <x v="273"/>
    <x v="152"/>
    <n v="1956.15"/>
  </r>
  <r>
    <x v="293"/>
    <x v="167"/>
    <x v="0"/>
    <x v="2"/>
    <x v="4"/>
    <x v="1"/>
    <x v="2"/>
    <x v="274"/>
    <x v="153"/>
    <n v="1007.16"/>
  </r>
  <r>
    <x v="294"/>
    <x v="43"/>
    <x v="6"/>
    <x v="0"/>
    <x v="0"/>
    <x v="2"/>
    <x v="0"/>
    <x v="275"/>
    <x v="65"/>
    <n v="3382.96"/>
  </r>
  <r>
    <x v="295"/>
    <x v="60"/>
    <x v="2"/>
    <x v="5"/>
    <x v="3"/>
    <x v="0"/>
    <x v="1"/>
    <x v="276"/>
    <x v="30"/>
    <n v="275.52"/>
  </r>
  <r>
    <x v="296"/>
    <x v="71"/>
    <x v="3"/>
    <x v="5"/>
    <x v="0"/>
    <x v="1"/>
    <x v="1"/>
    <x v="277"/>
    <x v="154"/>
    <n v="2459.8000000000002"/>
  </r>
  <r>
    <x v="297"/>
    <x v="133"/>
    <x v="1"/>
    <x v="5"/>
    <x v="5"/>
    <x v="1"/>
    <x v="0"/>
    <x v="278"/>
    <x v="78"/>
    <n v="1241.25"/>
  </r>
  <r>
    <x v="298"/>
    <x v="201"/>
    <x v="6"/>
    <x v="5"/>
    <x v="0"/>
    <x v="2"/>
    <x v="2"/>
    <x v="279"/>
    <x v="93"/>
    <n v="1469.16"/>
  </r>
  <r>
    <x v="299"/>
    <x v="177"/>
    <x v="5"/>
    <x v="1"/>
    <x v="0"/>
    <x v="1"/>
    <x v="1"/>
    <x v="280"/>
    <x v="155"/>
    <n v="459.81"/>
  </r>
  <r>
    <x v="300"/>
    <x v="202"/>
    <x v="1"/>
    <x v="3"/>
    <x v="8"/>
    <x v="0"/>
    <x v="0"/>
    <x v="281"/>
    <x v="156"/>
    <n v="1117.5"/>
  </r>
  <r>
    <x v="301"/>
    <x v="203"/>
    <x v="0"/>
    <x v="1"/>
    <x v="3"/>
    <x v="1"/>
    <x v="2"/>
    <x v="282"/>
    <x v="101"/>
    <n v="155.61000000000001"/>
  </r>
  <r>
    <x v="302"/>
    <x v="40"/>
    <x v="2"/>
    <x v="1"/>
    <x v="8"/>
    <x v="0"/>
    <x v="0"/>
    <x v="283"/>
    <x v="157"/>
    <n v="2149.6799999999998"/>
  </r>
  <r>
    <x v="303"/>
    <x v="204"/>
    <x v="0"/>
    <x v="0"/>
    <x v="8"/>
    <x v="2"/>
    <x v="0"/>
    <x v="77"/>
    <x v="113"/>
    <n v="285.12"/>
  </r>
  <r>
    <x v="304"/>
    <x v="205"/>
    <x v="4"/>
    <x v="4"/>
    <x v="3"/>
    <x v="0"/>
    <x v="1"/>
    <x v="284"/>
    <x v="139"/>
    <n v="256.62"/>
  </r>
  <r>
    <x v="305"/>
    <x v="113"/>
    <x v="4"/>
    <x v="3"/>
    <x v="2"/>
    <x v="2"/>
    <x v="1"/>
    <x v="285"/>
    <x v="158"/>
    <n v="2350.08"/>
  </r>
  <r>
    <x v="306"/>
    <x v="206"/>
    <x v="3"/>
    <x v="3"/>
    <x v="7"/>
    <x v="0"/>
    <x v="1"/>
    <x v="286"/>
    <x v="34"/>
    <n v="913.12"/>
  </r>
  <r>
    <x v="307"/>
    <x v="207"/>
    <x v="4"/>
    <x v="4"/>
    <x v="7"/>
    <x v="2"/>
    <x v="0"/>
    <x v="287"/>
    <x v="159"/>
    <n v="1324.47"/>
  </r>
  <r>
    <x v="308"/>
    <x v="197"/>
    <x v="0"/>
    <x v="5"/>
    <x v="0"/>
    <x v="1"/>
    <x v="0"/>
    <x v="288"/>
    <x v="160"/>
    <n v="474.72"/>
  </r>
  <r>
    <x v="309"/>
    <x v="208"/>
    <x v="6"/>
    <x v="5"/>
    <x v="2"/>
    <x v="2"/>
    <x v="0"/>
    <x v="289"/>
    <x v="150"/>
    <n v="583.65"/>
  </r>
  <r>
    <x v="310"/>
    <x v="208"/>
    <x v="0"/>
    <x v="1"/>
    <x v="0"/>
    <x v="0"/>
    <x v="1"/>
    <x v="290"/>
    <x v="98"/>
    <n v="1349.6"/>
  </r>
  <r>
    <x v="311"/>
    <x v="209"/>
    <x v="2"/>
    <x v="4"/>
    <x v="1"/>
    <x v="3"/>
    <x v="0"/>
    <x v="291"/>
    <x v="65"/>
    <n v="1166.2"/>
  </r>
  <r>
    <x v="312"/>
    <x v="136"/>
    <x v="3"/>
    <x v="5"/>
    <x v="3"/>
    <x v="1"/>
    <x v="0"/>
    <x v="292"/>
    <x v="76"/>
    <n v="4216"/>
  </r>
  <r>
    <x v="313"/>
    <x v="62"/>
    <x v="1"/>
    <x v="1"/>
    <x v="6"/>
    <x v="1"/>
    <x v="0"/>
    <x v="293"/>
    <x v="20"/>
    <n v="1394.86"/>
  </r>
  <r>
    <x v="314"/>
    <x v="210"/>
    <x v="3"/>
    <x v="0"/>
    <x v="7"/>
    <x v="3"/>
    <x v="1"/>
    <x v="294"/>
    <x v="46"/>
    <n v="1001.1"/>
  </r>
  <r>
    <x v="315"/>
    <x v="200"/>
    <x v="6"/>
    <x v="2"/>
    <x v="2"/>
    <x v="3"/>
    <x v="1"/>
    <x v="295"/>
    <x v="14"/>
    <n v="1096.48"/>
  </r>
  <r>
    <x v="316"/>
    <x v="124"/>
    <x v="6"/>
    <x v="1"/>
    <x v="9"/>
    <x v="3"/>
    <x v="0"/>
    <x v="296"/>
    <x v="149"/>
    <n v="607.16999999999996"/>
  </r>
  <r>
    <x v="317"/>
    <x v="211"/>
    <x v="0"/>
    <x v="2"/>
    <x v="0"/>
    <x v="1"/>
    <x v="1"/>
    <x v="297"/>
    <x v="110"/>
    <n v="1989.62"/>
  </r>
  <r>
    <x v="318"/>
    <x v="15"/>
    <x v="2"/>
    <x v="2"/>
    <x v="6"/>
    <x v="3"/>
    <x v="1"/>
    <x v="243"/>
    <x v="161"/>
    <n v="215.25"/>
  </r>
  <r>
    <x v="319"/>
    <x v="177"/>
    <x v="4"/>
    <x v="5"/>
    <x v="1"/>
    <x v="2"/>
    <x v="2"/>
    <x v="298"/>
    <x v="90"/>
    <n v="456.3"/>
  </r>
  <r>
    <x v="320"/>
    <x v="212"/>
    <x v="6"/>
    <x v="2"/>
    <x v="2"/>
    <x v="0"/>
    <x v="0"/>
    <x v="131"/>
    <x v="6"/>
    <n v="2229.0700000000002"/>
  </r>
  <r>
    <x v="321"/>
    <x v="213"/>
    <x v="6"/>
    <x v="1"/>
    <x v="5"/>
    <x v="0"/>
    <x v="1"/>
    <x v="106"/>
    <x v="46"/>
    <n v="734.14"/>
  </r>
  <r>
    <x v="322"/>
    <x v="214"/>
    <x v="5"/>
    <x v="5"/>
    <x v="2"/>
    <x v="3"/>
    <x v="0"/>
    <x v="299"/>
    <x v="31"/>
    <n v="3015.96"/>
  </r>
  <r>
    <x v="323"/>
    <x v="90"/>
    <x v="6"/>
    <x v="4"/>
    <x v="5"/>
    <x v="2"/>
    <x v="1"/>
    <x v="300"/>
    <x v="143"/>
    <n v="1430.04"/>
  </r>
  <r>
    <x v="324"/>
    <x v="215"/>
    <x v="6"/>
    <x v="1"/>
    <x v="9"/>
    <x v="0"/>
    <x v="1"/>
    <x v="301"/>
    <x v="37"/>
    <n v="560.28"/>
  </r>
  <r>
    <x v="325"/>
    <x v="216"/>
    <x v="6"/>
    <x v="1"/>
    <x v="9"/>
    <x v="0"/>
    <x v="0"/>
    <x v="302"/>
    <x v="162"/>
    <n v="62.01"/>
  </r>
  <r>
    <x v="326"/>
    <x v="51"/>
    <x v="2"/>
    <x v="0"/>
    <x v="9"/>
    <x v="0"/>
    <x v="0"/>
    <x v="303"/>
    <x v="163"/>
    <n v="739.2"/>
  </r>
  <r>
    <x v="327"/>
    <x v="203"/>
    <x v="2"/>
    <x v="4"/>
    <x v="3"/>
    <x v="2"/>
    <x v="1"/>
    <x v="304"/>
    <x v="103"/>
    <n v="1491.84"/>
  </r>
  <r>
    <x v="328"/>
    <x v="76"/>
    <x v="2"/>
    <x v="0"/>
    <x v="1"/>
    <x v="2"/>
    <x v="2"/>
    <x v="206"/>
    <x v="37"/>
    <n v="3866.28"/>
  </r>
  <r>
    <x v="329"/>
    <x v="198"/>
    <x v="5"/>
    <x v="0"/>
    <x v="1"/>
    <x v="3"/>
    <x v="1"/>
    <x v="305"/>
    <x v="94"/>
    <n v="2344.6799999999998"/>
  </r>
  <r>
    <x v="330"/>
    <x v="167"/>
    <x v="6"/>
    <x v="1"/>
    <x v="7"/>
    <x v="3"/>
    <x v="2"/>
    <x v="38"/>
    <x v="70"/>
    <n v="4169.4399999999996"/>
  </r>
  <r>
    <x v="331"/>
    <x v="44"/>
    <x v="4"/>
    <x v="1"/>
    <x v="8"/>
    <x v="0"/>
    <x v="1"/>
    <x v="306"/>
    <x v="34"/>
    <n v="481"/>
  </r>
  <r>
    <x v="332"/>
    <x v="217"/>
    <x v="4"/>
    <x v="3"/>
    <x v="9"/>
    <x v="3"/>
    <x v="2"/>
    <x v="307"/>
    <x v="84"/>
    <n v="893.39"/>
  </r>
  <r>
    <x v="333"/>
    <x v="152"/>
    <x v="3"/>
    <x v="4"/>
    <x v="0"/>
    <x v="2"/>
    <x v="0"/>
    <x v="308"/>
    <x v="61"/>
    <n v="1499.68"/>
  </r>
  <r>
    <x v="334"/>
    <x v="218"/>
    <x v="1"/>
    <x v="1"/>
    <x v="0"/>
    <x v="1"/>
    <x v="2"/>
    <x v="309"/>
    <x v="40"/>
    <n v="2301.75"/>
  </r>
  <r>
    <x v="335"/>
    <x v="219"/>
    <x v="1"/>
    <x v="2"/>
    <x v="0"/>
    <x v="0"/>
    <x v="2"/>
    <x v="264"/>
    <x v="128"/>
    <n v="2807.94"/>
  </r>
  <r>
    <x v="336"/>
    <x v="220"/>
    <x v="0"/>
    <x v="2"/>
    <x v="0"/>
    <x v="0"/>
    <x v="0"/>
    <x v="310"/>
    <x v="164"/>
    <n v="1985.4"/>
  </r>
  <r>
    <x v="337"/>
    <x v="208"/>
    <x v="6"/>
    <x v="0"/>
    <x v="3"/>
    <x v="0"/>
    <x v="2"/>
    <x v="311"/>
    <x v="165"/>
    <n v="3821.4"/>
  </r>
  <r>
    <x v="338"/>
    <x v="221"/>
    <x v="6"/>
    <x v="3"/>
    <x v="2"/>
    <x v="2"/>
    <x v="2"/>
    <x v="312"/>
    <x v="38"/>
    <n v="1148.8399999999999"/>
  </r>
  <r>
    <x v="339"/>
    <x v="207"/>
    <x v="6"/>
    <x v="2"/>
    <x v="8"/>
    <x v="2"/>
    <x v="1"/>
    <x v="313"/>
    <x v="89"/>
    <n v="1397.88"/>
  </r>
  <r>
    <x v="340"/>
    <x v="126"/>
    <x v="2"/>
    <x v="0"/>
    <x v="5"/>
    <x v="1"/>
    <x v="2"/>
    <x v="314"/>
    <x v="7"/>
    <n v="152.63999999999999"/>
  </r>
  <r>
    <x v="341"/>
    <x v="41"/>
    <x v="5"/>
    <x v="3"/>
    <x v="4"/>
    <x v="0"/>
    <x v="1"/>
    <x v="315"/>
    <x v="148"/>
    <n v="3600.09"/>
  </r>
  <r>
    <x v="342"/>
    <x v="130"/>
    <x v="4"/>
    <x v="0"/>
    <x v="8"/>
    <x v="2"/>
    <x v="2"/>
    <x v="316"/>
    <x v="12"/>
    <n v="1152"/>
  </r>
  <r>
    <x v="343"/>
    <x v="78"/>
    <x v="5"/>
    <x v="3"/>
    <x v="8"/>
    <x v="0"/>
    <x v="0"/>
    <x v="317"/>
    <x v="157"/>
    <n v="4098.25"/>
  </r>
  <r>
    <x v="344"/>
    <x v="67"/>
    <x v="2"/>
    <x v="3"/>
    <x v="5"/>
    <x v="1"/>
    <x v="0"/>
    <x v="318"/>
    <x v="152"/>
    <n v="1192.5899999999999"/>
  </r>
  <r>
    <x v="345"/>
    <x v="118"/>
    <x v="4"/>
    <x v="5"/>
    <x v="9"/>
    <x v="1"/>
    <x v="2"/>
    <x v="319"/>
    <x v="131"/>
    <n v="513.12"/>
  </r>
  <r>
    <x v="346"/>
    <x v="157"/>
    <x v="1"/>
    <x v="5"/>
    <x v="5"/>
    <x v="1"/>
    <x v="1"/>
    <x v="10"/>
    <x v="163"/>
    <n v="1373.44"/>
  </r>
  <r>
    <x v="347"/>
    <x v="210"/>
    <x v="2"/>
    <x v="5"/>
    <x v="3"/>
    <x v="3"/>
    <x v="0"/>
    <x v="320"/>
    <x v="116"/>
    <n v="255.2"/>
  </r>
  <r>
    <x v="348"/>
    <x v="222"/>
    <x v="2"/>
    <x v="3"/>
    <x v="9"/>
    <x v="1"/>
    <x v="0"/>
    <x v="134"/>
    <x v="166"/>
    <n v="401.85"/>
  </r>
  <r>
    <x v="349"/>
    <x v="223"/>
    <x v="1"/>
    <x v="1"/>
    <x v="1"/>
    <x v="0"/>
    <x v="1"/>
    <x v="321"/>
    <x v="167"/>
    <n v="1134.9000000000001"/>
  </r>
  <r>
    <x v="350"/>
    <x v="193"/>
    <x v="3"/>
    <x v="1"/>
    <x v="2"/>
    <x v="2"/>
    <x v="2"/>
    <x v="322"/>
    <x v="35"/>
    <n v="943.8"/>
  </r>
  <r>
    <x v="351"/>
    <x v="224"/>
    <x v="0"/>
    <x v="3"/>
    <x v="8"/>
    <x v="0"/>
    <x v="0"/>
    <x v="323"/>
    <x v="126"/>
    <n v="509.75"/>
  </r>
  <r>
    <x v="352"/>
    <x v="154"/>
    <x v="5"/>
    <x v="5"/>
    <x v="9"/>
    <x v="1"/>
    <x v="2"/>
    <x v="306"/>
    <x v="126"/>
    <n v="231.25"/>
  </r>
  <r>
    <x v="353"/>
    <x v="90"/>
    <x v="1"/>
    <x v="5"/>
    <x v="9"/>
    <x v="0"/>
    <x v="1"/>
    <x v="324"/>
    <x v="93"/>
    <n v="1384.74"/>
  </r>
  <r>
    <x v="354"/>
    <x v="225"/>
    <x v="4"/>
    <x v="4"/>
    <x v="3"/>
    <x v="1"/>
    <x v="0"/>
    <x v="325"/>
    <x v="127"/>
    <n v="3658.4"/>
  </r>
  <r>
    <x v="355"/>
    <x v="45"/>
    <x v="2"/>
    <x v="3"/>
    <x v="4"/>
    <x v="1"/>
    <x v="1"/>
    <x v="326"/>
    <x v="58"/>
    <n v="1395.94"/>
  </r>
  <r>
    <x v="356"/>
    <x v="226"/>
    <x v="2"/>
    <x v="5"/>
    <x v="9"/>
    <x v="0"/>
    <x v="2"/>
    <x v="327"/>
    <x v="1"/>
    <n v="3359.52"/>
  </r>
  <r>
    <x v="357"/>
    <x v="83"/>
    <x v="3"/>
    <x v="5"/>
    <x v="1"/>
    <x v="1"/>
    <x v="2"/>
    <x v="328"/>
    <x v="77"/>
    <n v="3740.15"/>
  </r>
  <r>
    <x v="358"/>
    <x v="227"/>
    <x v="4"/>
    <x v="3"/>
    <x v="2"/>
    <x v="2"/>
    <x v="2"/>
    <x v="329"/>
    <x v="12"/>
    <n v="2278.5"/>
  </r>
  <r>
    <x v="359"/>
    <x v="228"/>
    <x v="5"/>
    <x v="2"/>
    <x v="2"/>
    <x v="2"/>
    <x v="1"/>
    <x v="330"/>
    <x v="23"/>
    <n v="3672.49"/>
  </r>
  <r>
    <x v="360"/>
    <x v="229"/>
    <x v="0"/>
    <x v="1"/>
    <x v="3"/>
    <x v="3"/>
    <x v="2"/>
    <x v="331"/>
    <x v="131"/>
    <n v="295.92"/>
  </r>
  <r>
    <x v="361"/>
    <x v="230"/>
    <x v="6"/>
    <x v="0"/>
    <x v="7"/>
    <x v="3"/>
    <x v="2"/>
    <x v="332"/>
    <x v="168"/>
    <n v="2012.4"/>
  </r>
  <r>
    <x v="362"/>
    <x v="205"/>
    <x v="6"/>
    <x v="2"/>
    <x v="3"/>
    <x v="2"/>
    <x v="1"/>
    <x v="333"/>
    <x v="37"/>
    <n v="3095.46"/>
  </r>
  <r>
    <x v="363"/>
    <x v="185"/>
    <x v="6"/>
    <x v="5"/>
    <x v="5"/>
    <x v="3"/>
    <x v="2"/>
    <x v="334"/>
    <x v="135"/>
    <n v="191.4"/>
  </r>
  <r>
    <x v="364"/>
    <x v="180"/>
    <x v="0"/>
    <x v="3"/>
    <x v="7"/>
    <x v="2"/>
    <x v="1"/>
    <x v="335"/>
    <x v="169"/>
    <n v="29.4"/>
  </r>
  <r>
    <x v="365"/>
    <x v="231"/>
    <x v="6"/>
    <x v="1"/>
    <x v="2"/>
    <x v="3"/>
    <x v="1"/>
    <x v="336"/>
    <x v="124"/>
    <n v="512.9"/>
  </r>
  <r>
    <x v="366"/>
    <x v="232"/>
    <x v="1"/>
    <x v="1"/>
    <x v="3"/>
    <x v="2"/>
    <x v="2"/>
    <x v="337"/>
    <x v="25"/>
    <n v="659.92"/>
  </r>
  <r>
    <x v="367"/>
    <x v="87"/>
    <x v="4"/>
    <x v="2"/>
    <x v="2"/>
    <x v="0"/>
    <x v="0"/>
    <x v="338"/>
    <x v="61"/>
    <n v="943.28"/>
  </r>
  <r>
    <x v="368"/>
    <x v="233"/>
    <x v="3"/>
    <x v="0"/>
    <x v="4"/>
    <x v="2"/>
    <x v="2"/>
    <x v="339"/>
    <x v="10"/>
    <n v="644.64"/>
  </r>
  <r>
    <x v="369"/>
    <x v="14"/>
    <x v="6"/>
    <x v="4"/>
    <x v="1"/>
    <x v="2"/>
    <x v="2"/>
    <x v="340"/>
    <x v="170"/>
    <n v="271.66000000000003"/>
  </r>
  <r>
    <x v="370"/>
    <x v="64"/>
    <x v="5"/>
    <x v="5"/>
    <x v="8"/>
    <x v="0"/>
    <x v="2"/>
    <x v="341"/>
    <x v="143"/>
    <n v="722.84"/>
  </r>
  <r>
    <x v="371"/>
    <x v="18"/>
    <x v="6"/>
    <x v="4"/>
    <x v="3"/>
    <x v="3"/>
    <x v="2"/>
    <x v="342"/>
    <x v="169"/>
    <n v="33.299999999999997"/>
  </r>
  <r>
    <x v="372"/>
    <x v="170"/>
    <x v="2"/>
    <x v="0"/>
    <x v="4"/>
    <x v="2"/>
    <x v="0"/>
    <x v="343"/>
    <x v="171"/>
    <n v="1715.13"/>
  </r>
  <r>
    <x v="373"/>
    <x v="234"/>
    <x v="3"/>
    <x v="3"/>
    <x v="7"/>
    <x v="2"/>
    <x v="0"/>
    <x v="344"/>
    <x v="125"/>
    <n v="596.70000000000005"/>
  </r>
  <r>
    <x v="374"/>
    <x v="234"/>
    <x v="4"/>
    <x v="0"/>
    <x v="7"/>
    <x v="3"/>
    <x v="2"/>
    <x v="345"/>
    <x v="53"/>
    <n v="2544.48"/>
  </r>
  <r>
    <x v="375"/>
    <x v="194"/>
    <x v="3"/>
    <x v="1"/>
    <x v="2"/>
    <x v="0"/>
    <x v="0"/>
    <x v="346"/>
    <x v="129"/>
    <n v="1595.79"/>
  </r>
  <r>
    <x v="376"/>
    <x v="235"/>
    <x v="6"/>
    <x v="5"/>
    <x v="0"/>
    <x v="3"/>
    <x v="2"/>
    <x v="347"/>
    <x v="29"/>
    <n v="594.01"/>
  </r>
  <r>
    <x v="377"/>
    <x v="236"/>
    <x v="5"/>
    <x v="3"/>
    <x v="5"/>
    <x v="2"/>
    <x v="1"/>
    <x v="348"/>
    <x v="42"/>
    <n v="442.54"/>
  </r>
  <r>
    <x v="378"/>
    <x v="88"/>
    <x v="6"/>
    <x v="3"/>
    <x v="6"/>
    <x v="3"/>
    <x v="0"/>
    <x v="349"/>
    <x v="146"/>
    <n v="3256.16"/>
  </r>
  <r>
    <x v="379"/>
    <x v="168"/>
    <x v="2"/>
    <x v="5"/>
    <x v="1"/>
    <x v="1"/>
    <x v="2"/>
    <x v="350"/>
    <x v="166"/>
    <n v="2199.6"/>
  </r>
  <r>
    <x v="380"/>
    <x v="82"/>
    <x v="2"/>
    <x v="5"/>
    <x v="6"/>
    <x v="1"/>
    <x v="1"/>
    <x v="351"/>
    <x v="46"/>
    <n v="3216.3"/>
  </r>
  <r>
    <x v="381"/>
    <x v="140"/>
    <x v="5"/>
    <x v="1"/>
    <x v="9"/>
    <x v="3"/>
    <x v="2"/>
    <x v="62"/>
    <x v="170"/>
    <n v="820.62"/>
  </r>
  <r>
    <x v="382"/>
    <x v="237"/>
    <x v="0"/>
    <x v="0"/>
    <x v="2"/>
    <x v="0"/>
    <x v="2"/>
    <x v="352"/>
    <x v="97"/>
    <n v="146.4"/>
  </r>
  <r>
    <x v="383"/>
    <x v="19"/>
    <x v="2"/>
    <x v="5"/>
    <x v="2"/>
    <x v="0"/>
    <x v="2"/>
    <x v="353"/>
    <x v="172"/>
    <n v="2011.4"/>
  </r>
  <r>
    <x v="384"/>
    <x v="238"/>
    <x v="6"/>
    <x v="2"/>
    <x v="6"/>
    <x v="0"/>
    <x v="2"/>
    <x v="354"/>
    <x v="98"/>
    <n v="1068.8"/>
  </r>
  <r>
    <x v="385"/>
    <x v="137"/>
    <x v="2"/>
    <x v="3"/>
    <x v="7"/>
    <x v="3"/>
    <x v="1"/>
    <x v="355"/>
    <x v="87"/>
    <n v="582.54"/>
  </r>
  <r>
    <x v="386"/>
    <x v="239"/>
    <x v="0"/>
    <x v="2"/>
    <x v="4"/>
    <x v="1"/>
    <x v="0"/>
    <x v="356"/>
    <x v="168"/>
    <n v="2248.8000000000002"/>
  </r>
  <r>
    <x v="387"/>
    <x v="144"/>
    <x v="5"/>
    <x v="2"/>
    <x v="5"/>
    <x v="0"/>
    <x v="0"/>
    <x v="357"/>
    <x v="4"/>
    <n v="276.92"/>
  </r>
  <r>
    <x v="388"/>
    <x v="240"/>
    <x v="2"/>
    <x v="3"/>
    <x v="8"/>
    <x v="0"/>
    <x v="2"/>
    <x v="312"/>
    <x v="45"/>
    <n v="1327.88"/>
  </r>
  <r>
    <x v="389"/>
    <x v="241"/>
    <x v="5"/>
    <x v="3"/>
    <x v="1"/>
    <x v="1"/>
    <x v="0"/>
    <x v="358"/>
    <x v="111"/>
    <n v="1117.2"/>
  </r>
  <r>
    <x v="390"/>
    <x v="242"/>
    <x v="2"/>
    <x v="3"/>
    <x v="1"/>
    <x v="1"/>
    <x v="0"/>
    <x v="359"/>
    <x v="168"/>
    <n v="2684.4"/>
  </r>
  <r>
    <x v="391"/>
    <x v="243"/>
    <x v="5"/>
    <x v="2"/>
    <x v="3"/>
    <x v="1"/>
    <x v="0"/>
    <x v="360"/>
    <x v="141"/>
    <n v="1404.61"/>
  </r>
  <r>
    <x v="392"/>
    <x v="205"/>
    <x v="6"/>
    <x v="2"/>
    <x v="4"/>
    <x v="3"/>
    <x v="0"/>
    <x v="361"/>
    <x v="83"/>
    <n v="590.15"/>
  </r>
  <r>
    <x v="393"/>
    <x v="0"/>
    <x v="2"/>
    <x v="3"/>
    <x v="3"/>
    <x v="1"/>
    <x v="2"/>
    <x v="362"/>
    <x v="61"/>
    <n v="993.2"/>
  </r>
  <r>
    <x v="394"/>
    <x v="67"/>
    <x v="3"/>
    <x v="5"/>
    <x v="4"/>
    <x v="1"/>
    <x v="0"/>
    <x v="325"/>
    <x v="52"/>
    <n v="3507.76"/>
  </r>
  <r>
    <x v="395"/>
    <x v="244"/>
    <x v="0"/>
    <x v="2"/>
    <x v="5"/>
    <x v="2"/>
    <x v="0"/>
    <x v="362"/>
    <x v="35"/>
    <n v="630.29999999999995"/>
  </r>
  <r>
    <x v="396"/>
    <x v="245"/>
    <x v="2"/>
    <x v="0"/>
    <x v="3"/>
    <x v="3"/>
    <x v="2"/>
    <x v="363"/>
    <x v="3"/>
    <n v="1566.88"/>
  </r>
  <r>
    <x v="397"/>
    <x v="205"/>
    <x v="5"/>
    <x v="5"/>
    <x v="5"/>
    <x v="0"/>
    <x v="2"/>
    <x v="364"/>
    <x v="46"/>
    <n v="1909.9"/>
  </r>
  <r>
    <x v="398"/>
    <x v="163"/>
    <x v="4"/>
    <x v="3"/>
    <x v="3"/>
    <x v="1"/>
    <x v="2"/>
    <x v="365"/>
    <x v="125"/>
    <n v="481.1"/>
  </r>
  <r>
    <x v="399"/>
    <x v="191"/>
    <x v="4"/>
    <x v="3"/>
    <x v="2"/>
    <x v="3"/>
    <x v="2"/>
    <x v="366"/>
    <x v="173"/>
    <n v="723.6"/>
  </r>
  <r>
    <x v="400"/>
    <x v="226"/>
    <x v="4"/>
    <x v="3"/>
    <x v="8"/>
    <x v="0"/>
    <x v="1"/>
    <x v="367"/>
    <x v="147"/>
    <n v="2522.16"/>
  </r>
  <r>
    <x v="401"/>
    <x v="246"/>
    <x v="3"/>
    <x v="4"/>
    <x v="9"/>
    <x v="2"/>
    <x v="1"/>
    <x v="368"/>
    <x v="73"/>
    <n v="634.80999999999995"/>
  </r>
  <r>
    <x v="402"/>
    <x v="39"/>
    <x v="2"/>
    <x v="5"/>
    <x v="8"/>
    <x v="1"/>
    <x v="0"/>
    <x v="369"/>
    <x v="44"/>
    <n v="1098"/>
  </r>
  <r>
    <x v="403"/>
    <x v="144"/>
    <x v="4"/>
    <x v="4"/>
    <x v="2"/>
    <x v="1"/>
    <x v="0"/>
    <x v="370"/>
    <x v="1"/>
    <n v="1228.32"/>
  </r>
  <r>
    <x v="404"/>
    <x v="170"/>
    <x v="1"/>
    <x v="5"/>
    <x v="0"/>
    <x v="2"/>
    <x v="1"/>
    <x v="371"/>
    <x v="119"/>
    <n v="1671.27"/>
  </r>
  <r>
    <x v="405"/>
    <x v="92"/>
    <x v="6"/>
    <x v="2"/>
    <x v="0"/>
    <x v="0"/>
    <x v="0"/>
    <x v="372"/>
    <x v="155"/>
    <n v="227.07"/>
  </r>
  <r>
    <x v="406"/>
    <x v="94"/>
    <x v="2"/>
    <x v="5"/>
    <x v="1"/>
    <x v="0"/>
    <x v="0"/>
    <x v="110"/>
    <x v="147"/>
    <n v="3349.86"/>
  </r>
  <r>
    <x v="407"/>
    <x v="228"/>
    <x v="4"/>
    <x v="2"/>
    <x v="3"/>
    <x v="2"/>
    <x v="0"/>
    <x v="373"/>
    <x v="87"/>
    <n v="1149.1199999999999"/>
  </r>
  <r>
    <x v="408"/>
    <x v="247"/>
    <x v="0"/>
    <x v="5"/>
    <x v="4"/>
    <x v="2"/>
    <x v="0"/>
    <x v="374"/>
    <x v="174"/>
    <n v="764.64"/>
  </r>
  <r>
    <x v="409"/>
    <x v="224"/>
    <x v="5"/>
    <x v="2"/>
    <x v="5"/>
    <x v="3"/>
    <x v="1"/>
    <x v="375"/>
    <x v="151"/>
    <n v="3254.48"/>
  </r>
  <r>
    <x v="410"/>
    <x v="248"/>
    <x v="5"/>
    <x v="0"/>
    <x v="0"/>
    <x v="0"/>
    <x v="0"/>
    <x v="376"/>
    <x v="62"/>
    <n v="814.37"/>
  </r>
  <r>
    <x v="411"/>
    <x v="108"/>
    <x v="4"/>
    <x v="5"/>
    <x v="1"/>
    <x v="3"/>
    <x v="1"/>
    <x v="377"/>
    <x v="73"/>
    <n v="4206.8599999999997"/>
  </r>
  <r>
    <x v="412"/>
    <x v="89"/>
    <x v="6"/>
    <x v="3"/>
    <x v="8"/>
    <x v="1"/>
    <x v="0"/>
    <x v="378"/>
    <x v="175"/>
    <n v="2760.45"/>
  </r>
  <r>
    <x v="413"/>
    <x v="2"/>
    <x v="0"/>
    <x v="5"/>
    <x v="7"/>
    <x v="3"/>
    <x v="2"/>
    <x v="379"/>
    <x v="65"/>
    <n v="2265.7600000000002"/>
  </r>
  <r>
    <x v="414"/>
    <x v="249"/>
    <x v="1"/>
    <x v="5"/>
    <x v="8"/>
    <x v="2"/>
    <x v="1"/>
    <x v="380"/>
    <x v="103"/>
    <n v="2993.28"/>
  </r>
  <r>
    <x v="415"/>
    <x v="111"/>
    <x v="4"/>
    <x v="0"/>
    <x v="8"/>
    <x v="2"/>
    <x v="2"/>
    <x v="381"/>
    <x v="39"/>
    <n v="1305.3"/>
  </r>
  <r>
    <x v="416"/>
    <x v="40"/>
    <x v="3"/>
    <x v="1"/>
    <x v="8"/>
    <x v="2"/>
    <x v="0"/>
    <x v="382"/>
    <x v="53"/>
    <n v="1535.2"/>
  </r>
  <r>
    <x v="417"/>
    <x v="250"/>
    <x v="4"/>
    <x v="3"/>
    <x v="9"/>
    <x v="1"/>
    <x v="1"/>
    <x v="383"/>
    <x v="175"/>
    <n v="582.45000000000005"/>
  </r>
  <r>
    <x v="418"/>
    <x v="170"/>
    <x v="3"/>
    <x v="5"/>
    <x v="5"/>
    <x v="2"/>
    <x v="1"/>
    <x v="384"/>
    <x v="39"/>
    <n v="1455.78"/>
  </r>
  <r>
    <x v="419"/>
    <x v="223"/>
    <x v="0"/>
    <x v="2"/>
    <x v="7"/>
    <x v="0"/>
    <x v="1"/>
    <x v="171"/>
    <x v="20"/>
    <n v="446.2"/>
  </r>
  <r>
    <x v="420"/>
    <x v="121"/>
    <x v="5"/>
    <x v="0"/>
    <x v="1"/>
    <x v="1"/>
    <x v="0"/>
    <x v="385"/>
    <x v="176"/>
    <n v="3150.2"/>
  </r>
  <r>
    <x v="421"/>
    <x v="251"/>
    <x v="1"/>
    <x v="0"/>
    <x v="3"/>
    <x v="0"/>
    <x v="0"/>
    <x v="386"/>
    <x v="79"/>
    <n v="320.04000000000002"/>
  </r>
  <r>
    <x v="422"/>
    <x v="200"/>
    <x v="5"/>
    <x v="4"/>
    <x v="6"/>
    <x v="3"/>
    <x v="0"/>
    <x v="387"/>
    <x v="101"/>
    <n v="87.57"/>
  </r>
  <r>
    <x v="423"/>
    <x v="231"/>
    <x v="6"/>
    <x v="2"/>
    <x v="6"/>
    <x v="1"/>
    <x v="2"/>
    <x v="388"/>
    <x v="26"/>
    <n v="834.75"/>
  </r>
  <r>
    <x v="424"/>
    <x v="149"/>
    <x v="6"/>
    <x v="0"/>
    <x v="5"/>
    <x v="1"/>
    <x v="0"/>
    <x v="389"/>
    <x v="102"/>
    <n v="892.8"/>
  </r>
  <r>
    <x v="425"/>
    <x v="70"/>
    <x v="3"/>
    <x v="3"/>
    <x v="7"/>
    <x v="0"/>
    <x v="0"/>
    <x v="390"/>
    <x v="171"/>
    <n v="459.99"/>
  </r>
  <r>
    <x v="426"/>
    <x v="65"/>
    <x v="5"/>
    <x v="3"/>
    <x v="0"/>
    <x v="1"/>
    <x v="1"/>
    <x v="391"/>
    <x v="177"/>
    <n v="3758.4"/>
  </r>
  <r>
    <x v="427"/>
    <x v="228"/>
    <x v="5"/>
    <x v="3"/>
    <x v="7"/>
    <x v="3"/>
    <x v="2"/>
    <x v="392"/>
    <x v="77"/>
    <n v="3011.65"/>
  </r>
  <r>
    <x v="428"/>
    <x v="228"/>
    <x v="1"/>
    <x v="0"/>
    <x v="2"/>
    <x v="2"/>
    <x v="0"/>
    <x v="393"/>
    <x v="127"/>
    <n v="1373.6"/>
  </r>
  <r>
    <x v="429"/>
    <x v="232"/>
    <x v="0"/>
    <x v="0"/>
    <x v="2"/>
    <x v="0"/>
    <x v="0"/>
    <x v="394"/>
    <x v="138"/>
    <n v="3733.34"/>
  </r>
  <r>
    <x v="430"/>
    <x v="252"/>
    <x v="4"/>
    <x v="0"/>
    <x v="8"/>
    <x v="3"/>
    <x v="1"/>
    <x v="395"/>
    <x v="80"/>
    <n v="164.7"/>
  </r>
  <r>
    <x v="431"/>
    <x v="253"/>
    <x v="1"/>
    <x v="1"/>
    <x v="9"/>
    <x v="2"/>
    <x v="2"/>
    <x v="396"/>
    <x v="112"/>
    <n v="2157.1799999999998"/>
  </r>
  <r>
    <x v="432"/>
    <x v="231"/>
    <x v="6"/>
    <x v="4"/>
    <x v="2"/>
    <x v="0"/>
    <x v="2"/>
    <x v="397"/>
    <x v="12"/>
    <n v="1680"/>
  </r>
  <r>
    <x v="433"/>
    <x v="185"/>
    <x v="1"/>
    <x v="4"/>
    <x v="0"/>
    <x v="1"/>
    <x v="1"/>
    <x v="398"/>
    <x v="130"/>
    <n v="63.36"/>
  </r>
  <r>
    <x v="434"/>
    <x v="254"/>
    <x v="5"/>
    <x v="1"/>
    <x v="1"/>
    <x v="3"/>
    <x v="0"/>
    <x v="399"/>
    <x v="175"/>
    <n v="2293.5"/>
  </r>
  <r>
    <x v="435"/>
    <x v="206"/>
    <x v="2"/>
    <x v="1"/>
    <x v="5"/>
    <x v="2"/>
    <x v="1"/>
    <x v="334"/>
    <x v="46"/>
    <n v="617.70000000000005"/>
  </r>
  <r>
    <x v="436"/>
    <x v="53"/>
    <x v="4"/>
    <x v="0"/>
    <x v="2"/>
    <x v="2"/>
    <x v="2"/>
    <x v="400"/>
    <x v="87"/>
    <n v="243.96"/>
  </r>
  <r>
    <x v="437"/>
    <x v="255"/>
    <x v="5"/>
    <x v="5"/>
    <x v="6"/>
    <x v="2"/>
    <x v="0"/>
    <x v="332"/>
    <x v="171"/>
    <n v="2867.67"/>
  </r>
  <r>
    <x v="438"/>
    <x v="256"/>
    <x v="1"/>
    <x v="0"/>
    <x v="6"/>
    <x v="3"/>
    <x v="1"/>
    <x v="401"/>
    <x v="35"/>
    <n v="1248.72"/>
  </r>
  <r>
    <x v="439"/>
    <x v="124"/>
    <x v="0"/>
    <x v="5"/>
    <x v="5"/>
    <x v="1"/>
    <x v="1"/>
    <x v="402"/>
    <x v="11"/>
    <n v="309.32"/>
  </r>
  <r>
    <x v="440"/>
    <x v="25"/>
    <x v="3"/>
    <x v="3"/>
    <x v="7"/>
    <x v="2"/>
    <x v="1"/>
    <x v="403"/>
    <x v="101"/>
    <n v="39.130000000000003"/>
  </r>
  <r>
    <x v="441"/>
    <x v="175"/>
    <x v="5"/>
    <x v="2"/>
    <x v="9"/>
    <x v="2"/>
    <x v="2"/>
    <x v="404"/>
    <x v="121"/>
    <n v="391.28"/>
  </r>
  <r>
    <x v="442"/>
    <x v="257"/>
    <x v="5"/>
    <x v="1"/>
    <x v="6"/>
    <x v="3"/>
    <x v="2"/>
    <x v="405"/>
    <x v="13"/>
    <n v="1028.8800000000001"/>
  </r>
  <r>
    <x v="443"/>
    <x v="258"/>
    <x v="4"/>
    <x v="1"/>
    <x v="5"/>
    <x v="2"/>
    <x v="1"/>
    <x v="406"/>
    <x v="89"/>
    <n v="1399.2"/>
  </r>
  <r>
    <x v="444"/>
    <x v="259"/>
    <x v="5"/>
    <x v="5"/>
    <x v="6"/>
    <x v="0"/>
    <x v="0"/>
    <x v="407"/>
    <x v="100"/>
    <n v="3004.9"/>
  </r>
  <r>
    <x v="445"/>
    <x v="34"/>
    <x v="3"/>
    <x v="2"/>
    <x v="8"/>
    <x v="2"/>
    <x v="2"/>
    <x v="408"/>
    <x v="32"/>
    <n v="20.48"/>
  </r>
  <r>
    <x v="446"/>
    <x v="44"/>
    <x v="2"/>
    <x v="5"/>
    <x v="1"/>
    <x v="0"/>
    <x v="2"/>
    <x v="409"/>
    <x v="178"/>
    <n v="91.42"/>
  </r>
  <r>
    <x v="447"/>
    <x v="48"/>
    <x v="0"/>
    <x v="4"/>
    <x v="6"/>
    <x v="2"/>
    <x v="1"/>
    <x v="410"/>
    <x v="152"/>
    <n v="2243.4299999999998"/>
  </r>
  <r>
    <x v="448"/>
    <x v="182"/>
    <x v="3"/>
    <x v="0"/>
    <x v="2"/>
    <x v="1"/>
    <x v="2"/>
    <x v="411"/>
    <x v="80"/>
    <n v="317.7"/>
  </r>
  <r>
    <x v="449"/>
    <x v="52"/>
    <x v="4"/>
    <x v="4"/>
    <x v="7"/>
    <x v="1"/>
    <x v="0"/>
    <x v="282"/>
    <x v="38"/>
    <n v="1711.71"/>
  </r>
  <r>
    <x v="450"/>
    <x v="110"/>
    <x v="0"/>
    <x v="1"/>
    <x v="4"/>
    <x v="0"/>
    <x v="2"/>
    <x v="412"/>
    <x v="140"/>
    <n v="150.08000000000001"/>
  </r>
  <r>
    <x v="451"/>
    <x v="149"/>
    <x v="4"/>
    <x v="0"/>
    <x v="2"/>
    <x v="0"/>
    <x v="1"/>
    <x v="413"/>
    <x v="108"/>
    <n v="2071.11"/>
  </r>
  <r>
    <x v="452"/>
    <x v="146"/>
    <x v="3"/>
    <x v="1"/>
    <x v="7"/>
    <x v="1"/>
    <x v="2"/>
    <x v="414"/>
    <x v="43"/>
    <n v="258.27999999999997"/>
  </r>
  <r>
    <x v="453"/>
    <x v="260"/>
    <x v="4"/>
    <x v="5"/>
    <x v="4"/>
    <x v="1"/>
    <x v="1"/>
    <x v="415"/>
    <x v="6"/>
    <n v="1977.58"/>
  </r>
  <r>
    <x v="454"/>
    <x v="112"/>
    <x v="6"/>
    <x v="2"/>
    <x v="5"/>
    <x v="2"/>
    <x v="1"/>
    <x v="416"/>
    <x v="3"/>
    <n v="2757.44"/>
  </r>
  <r>
    <x v="455"/>
    <x v="51"/>
    <x v="6"/>
    <x v="5"/>
    <x v="7"/>
    <x v="3"/>
    <x v="0"/>
    <x v="114"/>
    <x v="56"/>
    <n v="3205.74"/>
  </r>
  <r>
    <x v="456"/>
    <x v="134"/>
    <x v="3"/>
    <x v="5"/>
    <x v="1"/>
    <x v="1"/>
    <x v="0"/>
    <x v="417"/>
    <x v="2"/>
    <n v="2086.38"/>
  </r>
  <r>
    <x v="457"/>
    <x v="21"/>
    <x v="3"/>
    <x v="0"/>
    <x v="4"/>
    <x v="2"/>
    <x v="2"/>
    <x v="418"/>
    <x v="37"/>
    <n v="678.6"/>
  </r>
  <r>
    <x v="458"/>
    <x v="194"/>
    <x v="0"/>
    <x v="4"/>
    <x v="8"/>
    <x v="2"/>
    <x v="1"/>
    <x v="419"/>
    <x v="179"/>
    <n v="3526.11"/>
  </r>
  <r>
    <x v="459"/>
    <x v="120"/>
    <x v="4"/>
    <x v="1"/>
    <x v="6"/>
    <x v="0"/>
    <x v="1"/>
    <x v="420"/>
    <x v="90"/>
    <n v="925.47"/>
  </r>
  <r>
    <x v="460"/>
    <x v="69"/>
    <x v="6"/>
    <x v="2"/>
    <x v="2"/>
    <x v="2"/>
    <x v="1"/>
    <x v="421"/>
    <x v="125"/>
    <n v="1072.7"/>
  </r>
  <r>
    <x v="461"/>
    <x v="261"/>
    <x v="4"/>
    <x v="2"/>
    <x v="6"/>
    <x v="0"/>
    <x v="0"/>
    <x v="50"/>
    <x v="13"/>
    <n v="679.68"/>
  </r>
  <r>
    <x v="462"/>
    <x v="262"/>
    <x v="2"/>
    <x v="2"/>
    <x v="0"/>
    <x v="2"/>
    <x v="1"/>
    <x v="422"/>
    <x v="92"/>
    <n v="3859.47"/>
  </r>
  <r>
    <x v="463"/>
    <x v="190"/>
    <x v="6"/>
    <x v="1"/>
    <x v="9"/>
    <x v="2"/>
    <x v="2"/>
    <x v="423"/>
    <x v="5"/>
    <n v="1776"/>
  </r>
  <r>
    <x v="464"/>
    <x v="240"/>
    <x v="4"/>
    <x v="3"/>
    <x v="2"/>
    <x v="0"/>
    <x v="1"/>
    <x v="424"/>
    <x v="158"/>
    <n v="345.6"/>
  </r>
  <r>
    <x v="465"/>
    <x v="114"/>
    <x v="1"/>
    <x v="2"/>
    <x v="9"/>
    <x v="0"/>
    <x v="1"/>
    <x v="425"/>
    <x v="102"/>
    <n v="191.6"/>
  </r>
  <r>
    <x v="466"/>
    <x v="57"/>
    <x v="5"/>
    <x v="5"/>
    <x v="6"/>
    <x v="2"/>
    <x v="1"/>
    <x v="300"/>
    <x v="107"/>
    <n v="2103"/>
  </r>
  <r>
    <x v="467"/>
    <x v="214"/>
    <x v="5"/>
    <x v="3"/>
    <x v="5"/>
    <x v="1"/>
    <x v="2"/>
    <x v="426"/>
    <x v="83"/>
    <n v="1371.7"/>
  </r>
  <r>
    <x v="468"/>
    <x v="188"/>
    <x v="1"/>
    <x v="0"/>
    <x v="3"/>
    <x v="3"/>
    <x v="0"/>
    <x v="427"/>
    <x v="31"/>
    <n v="425.58"/>
  </r>
  <r>
    <x v="469"/>
    <x v="121"/>
    <x v="5"/>
    <x v="3"/>
    <x v="5"/>
    <x v="2"/>
    <x v="1"/>
    <x v="428"/>
    <x v="10"/>
    <n v="1393.32"/>
  </r>
  <r>
    <x v="470"/>
    <x v="205"/>
    <x v="3"/>
    <x v="2"/>
    <x v="3"/>
    <x v="0"/>
    <x v="0"/>
    <x v="167"/>
    <x v="159"/>
    <n v="1034.1099999999999"/>
  </r>
  <r>
    <x v="471"/>
    <x v="263"/>
    <x v="6"/>
    <x v="2"/>
    <x v="6"/>
    <x v="2"/>
    <x v="2"/>
    <x v="429"/>
    <x v="22"/>
    <n v="1990.85"/>
  </r>
  <r>
    <x v="472"/>
    <x v="157"/>
    <x v="4"/>
    <x v="1"/>
    <x v="0"/>
    <x v="1"/>
    <x v="2"/>
    <x v="39"/>
    <x v="157"/>
    <n v="2016.17"/>
  </r>
  <r>
    <x v="473"/>
    <x v="264"/>
    <x v="0"/>
    <x v="1"/>
    <x v="2"/>
    <x v="2"/>
    <x v="2"/>
    <x v="430"/>
    <x v="27"/>
    <n v="1714.41"/>
  </r>
  <r>
    <x v="474"/>
    <x v="265"/>
    <x v="2"/>
    <x v="0"/>
    <x v="9"/>
    <x v="2"/>
    <x v="1"/>
    <x v="431"/>
    <x v="95"/>
    <n v="563.29999999999995"/>
  </r>
  <r>
    <x v="475"/>
    <x v="266"/>
    <x v="3"/>
    <x v="0"/>
    <x v="6"/>
    <x v="0"/>
    <x v="0"/>
    <x v="432"/>
    <x v="14"/>
    <n v="2219.14"/>
  </r>
  <r>
    <x v="476"/>
    <x v="253"/>
    <x v="1"/>
    <x v="0"/>
    <x v="3"/>
    <x v="3"/>
    <x v="2"/>
    <x v="53"/>
    <x v="179"/>
    <n v="1640.5"/>
  </r>
  <r>
    <x v="477"/>
    <x v="178"/>
    <x v="0"/>
    <x v="5"/>
    <x v="7"/>
    <x v="1"/>
    <x v="0"/>
    <x v="433"/>
    <x v="94"/>
    <n v="1007.76"/>
  </r>
  <r>
    <x v="478"/>
    <x v="267"/>
    <x v="2"/>
    <x v="0"/>
    <x v="3"/>
    <x v="0"/>
    <x v="2"/>
    <x v="174"/>
    <x v="12"/>
    <n v="1561.5"/>
  </r>
  <r>
    <x v="479"/>
    <x v="102"/>
    <x v="1"/>
    <x v="2"/>
    <x v="9"/>
    <x v="0"/>
    <x v="0"/>
    <x v="434"/>
    <x v="109"/>
    <n v="1228.5"/>
  </r>
  <r>
    <x v="480"/>
    <x v="68"/>
    <x v="1"/>
    <x v="4"/>
    <x v="3"/>
    <x v="0"/>
    <x v="1"/>
    <x v="435"/>
    <x v="79"/>
    <n v="374.65"/>
  </r>
  <r>
    <x v="481"/>
    <x v="186"/>
    <x v="1"/>
    <x v="2"/>
    <x v="5"/>
    <x v="0"/>
    <x v="1"/>
    <x v="436"/>
    <x v="142"/>
    <n v="1620.81"/>
  </r>
  <r>
    <x v="482"/>
    <x v="268"/>
    <x v="0"/>
    <x v="5"/>
    <x v="1"/>
    <x v="1"/>
    <x v="2"/>
    <x v="437"/>
    <x v="36"/>
    <n v="503.01"/>
  </r>
  <r>
    <x v="483"/>
    <x v="76"/>
    <x v="5"/>
    <x v="3"/>
    <x v="8"/>
    <x v="2"/>
    <x v="1"/>
    <x v="438"/>
    <x v="150"/>
    <n v="439.2"/>
  </r>
  <r>
    <x v="484"/>
    <x v="25"/>
    <x v="2"/>
    <x v="4"/>
    <x v="0"/>
    <x v="0"/>
    <x v="2"/>
    <x v="439"/>
    <x v="58"/>
    <n v="4422.6000000000004"/>
  </r>
  <r>
    <x v="485"/>
    <x v="211"/>
    <x v="3"/>
    <x v="0"/>
    <x v="9"/>
    <x v="3"/>
    <x v="0"/>
    <x v="440"/>
    <x v="98"/>
    <n v="1520.8"/>
  </r>
  <r>
    <x v="486"/>
    <x v="269"/>
    <x v="4"/>
    <x v="1"/>
    <x v="0"/>
    <x v="1"/>
    <x v="2"/>
    <x v="441"/>
    <x v="95"/>
    <n v="567.6"/>
  </r>
  <r>
    <x v="487"/>
    <x v="245"/>
    <x v="3"/>
    <x v="4"/>
    <x v="7"/>
    <x v="0"/>
    <x v="0"/>
    <x v="442"/>
    <x v="131"/>
    <n v="238.8"/>
  </r>
  <r>
    <x v="488"/>
    <x v="270"/>
    <x v="5"/>
    <x v="5"/>
    <x v="7"/>
    <x v="3"/>
    <x v="1"/>
    <x v="443"/>
    <x v="70"/>
    <n v="3694.24"/>
  </r>
  <r>
    <x v="489"/>
    <x v="31"/>
    <x v="1"/>
    <x v="4"/>
    <x v="4"/>
    <x v="1"/>
    <x v="0"/>
    <x v="444"/>
    <x v="58"/>
    <n v="1314.04"/>
  </r>
  <r>
    <x v="490"/>
    <x v="260"/>
    <x v="5"/>
    <x v="3"/>
    <x v="5"/>
    <x v="3"/>
    <x v="2"/>
    <x v="445"/>
    <x v="85"/>
    <n v="418.86"/>
  </r>
  <r>
    <x v="491"/>
    <x v="219"/>
    <x v="1"/>
    <x v="3"/>
    <x v="3"/>
    <x v="0"/>
    <x v="1"/>
    <x v="446"/>
    <x v="6"/>
    <n v="1050.4000000000001"/>
  </r>
  <r>
    <x v="492"/>
    <x v="261"/>
    <x v="0"/>
    <x v="2"/>
    <x v="7"/>
    <x v="2"/>
    <x v="1"/>
    <x v="242"/>
    <x v="162"/>
    <n v="54.08"/>
  </r>
  <r>
    <x v="493"/>
    <x v="185"/>
    <x v="3"/>
    <x v="5"/>
    <x v="6"/>
    <x v="1"/>
    <x v="2"/>
    <x v="447"/>
    <x v="6"/>
    <n v="1029.19"/>
  </r>
  <r>
    <x v="494"/>
    <x v="271"/>
    <x v="5"/>
    <x v="2"/>
    <x v="1"/>
    <x v="0"/>
    <x v="0"/>
    <x v="448"/>
    <x v="105"/>
    <n v="3157.76"/>
  </r>
  <r>
    <x v="495"/>
    <x v="272"/>
    <x v="0"/>
    <x v="0"/>
    <x v="0"/>
    <x v="3"/>
    <x v="0"/>
    <x v="109"/>
    <x v="97"/>
    <n v="180.9"/>
  </r>
  <r>
    <x v="496"/>
    <x v="41"/>
    <x v="2"/>
    <x v="4"/>
    <x v="4"/>
    <x v="2"/>
    <x v="1"/>
    <x v="449"/>
    <x v="29"/>
    <n v="3581.25"/>
  </r>
  <r>
    <x v="497"/>
    <x v="193"/>
    <x v="2"/>
    <x v="3"/>
    <x v="5"/>
    <x v="1"/>
    <x v="2"/>
    <x v="450"/>
    <x v="100"/>
    <n v="546.62"/>
  </r>
  <r>
    <x v="498"/>
    <x v="273"/>
    <x v="4"/>
    <x v="5"/>
    <x v="3"/>
    <x v="3"/>
    <x v="1"/>
    <x v="451"/>
    <x v="98"/>
    <n v="969.6"/>
  </r>
  <r>
    <x v="499"/>
    <x v="193"/>
    <x v="5"/>
    <x v="4"/>
    <x v="6"/>
    <x v="3"/>
    <x v="1"/>
    <x v="86"/>
    <x v="174"/>
    <n v="147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BB7BF-94EF-48AB-B640-8C4DC6FE8A1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onths">
  <location ref="L39:O52" firstHeaderRow="0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>
      <items count="7">
        <item x="1"/>
        <item x="5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name="Months"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_USD" fld="9" baseField="0" baseItem="0"/>
    <dataField name="Monthwise Increment/Decrement" fld="9" showDataAs="difference" baseField="11" baseItem="1048828"/>
    <dataField name="Scale of Sales" fld="9" baseField="11" baseItem="1"/>
  </dataFields>
  <conditionalFormats count="4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1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1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1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1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084F7-4D4F-4645-99EF-E55BC27EA6C7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_USD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1F8C-688E-401A-984D-27D1CC07CFB6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">
  <location ref="A21:C38" firstHeaderRow="1" firstDataRow="1" firstDataCol="0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938B7-F6E3-4580-A375-44D9CD0B413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53">
        <item x="386"/>
        <item x="408"/>
        <item x="177"/>
        <item x="412"/>
        <item x="390"/>
        <item x="288"/>
        <item x="125"/>
        <item x="284"/>
        <item x="134"/>
        <item x="398"/>
        <item x="204"/>
        <item x="435"/>
        <item x="25"/>
        <item x="357"/>
        <item x="86"/>
        <item x="347"/>
        <item x="368"/>
        <item x="424"/>
        <item x="301"/>
        <item x="427"/>
        <item x="221"/>
        <item x="225"/>
        <item x="383"/>
        <item x="445"/>
        <item x="450"/>
        <item x="82"/>
        <item x="36"/>
        <item x="108"/>
        <item x="418"/>
        <item x="348"/>
        <item x="242"/>
        <item x="87"/>
        <item x="188"/>
        <item x="400"/>
        <item x="37"/>
        <item x="334"/>
        <item x="336"/>
        <item x="337"/>
        <item x="14"/>
        <item x="96"/>
        <item x="171"/>
        <item x="155"/>
        <item x="302"/>
        <item x="425"/>
        <item x="89"/>
        <item x="352"/>
        <item x="335"/>
        <item x="164"/>
        <item x="0"/>
        <item x="20"/>
        <item x="84"/>
        <item x="106"/>
        <item x="240"/>
        <item x="133"/>
        <item x="404"/>
        <item x="296"/>
        <item x="342"/>
        <item x="403"/>
        <item x="365"/>
        <item x="149"/>
        <item x="340"/>
        <item x="66"/>
        <item x="192"/>
        <item x="291"/>
        <item x="45"/>
        <item x="109"/>
        <item x="180"/>
        <item x="43"/>
        <item x="245"/>
        <item x="9"/>
        <item x="247"/>
        <item x="318"/>
        <item x="339"/>
        <item x="147"/>
        <item x="433"/>
        <item x="409"/>
        <item x="431"/>
        <item x="441"/>
        <item x="31"/>
        <item x="358"/>
        <item x="55"/>
        <item x="246"/>
        <item x="190"/>
        <item x="83"/>
        <item x="344"/>
        <item x="294"/>
        <item x="295"/>
        <item x="360"/>
        <item x="444"/>
        <item x="11"/>
        <item x="158"/>
        <item x="42"/>
        <item x="33"/>
        <item x="156"/>
        <item x="2"/>
        <item x="326"/>
        <item x="316"/>
        <item x="73"/>
        <item x="304"/>
        <item x="136"/>
        <item x="143"/>
        <item x="217"/>
        <item x="208"/>
        <item x="222"/>
        <item x="393"/>
        <item x="121"/>
        <item x="226"/>
        <item x="80"/>
        <item x="372"/>
        <item x="53"/>
        <item x="129"/>
        <item x="254"/>
        <item x="370"/>
        <item x="91"/>
        <item x="276"/>
        <item x="77"/>
        <item x="167"/>
        <item x="100"/>
        <item x="71"/>
        <item x="27"/>
        <item x="257"/>
        <item x="215"/>
        <item x="120"/>
        <item x="369"/>
        <item x="250"/>
        <item x="219"/>
        <item x="338"/>
        <item x="168"/>
        <item x="395"/>
        <item x="101"/>
        <item x="35"/>
        <item x="76"/>
        <item x="44"/>
        <item x="306"/>
        <item x="153"/>
        <item x="50"/>
        <item x="434"/>
        <item x="314"/>
        <item x="362"/>
        <item x="270"/>
        <item x="132"/>
        <item x="214"/>
        <item x="438"/>
        <item x="278"/>
        <item x="74"/>
        <item x="442"/>
        <item x="227"/>
        <item x="119"/>
        <item x="343"/>
        <item x="382"/>
        <item x="135"/>
        <item x="170"/>
        <item x="179"/>
        <item x="447"/>
        <item x="355"/>
        <item x="243"/>
        <item x="182"/>
        <item x="273"/>
        <item x="175"/>
        <item x="446"/>
        <item x="174"/>
        <item x="193"/>
        <item x="223"/>
        <item x="157"/>
        <item x="313"/>
        <item x="406"/>
        <item x="341"/>
        <item x="233"/>
        <item x="346"/>
        <item x="361"/>
        <item x="97"/>
        <item x="154"/>
        <item x="24"/>
        <item x="324"/>
        <item x="5"/>
        <item x="287"/>
        <item x="397"/>
        <item x="353"/>
        <item x="259"/>
        <item x="144"/>
        <item x="213"/>
        <item x="381"/>
        <item x="241"/>
        <item x="56"/>
        <item x="187"/>
        <item x="260"/>
        <item x="303"/>
        <item x="379"/>
        <item x="279"/>
        <item x="298"/>
        <item x="139"/>
        <item x="268"/>
        <item x="410"/>
        <item x="186"/>
        <item x="255"/>
        <item x="39"/>
        <item x="181"/>
        <item x="451"/>
        <item x="13"/>
        <item x="17"/>
        <item x="58"/>
        <item x="331"/>
        <item x="64"/>
        <item x="234"/>
        <item x="387"/>
        <item x="421"/>
        <item x="107"/>
        <item x="98"/>
        <item x="283"/>
        <item x="320"/>
        <item x="384"/>
        <item x="261"/>
        <item x="12"/>
        <item x="122"/>
        <item x="191"/>
        <item x="289"/>
        <item x="29"/>
        <item x="22"/>
        <item x="196"/>
        <item x="388"/>
        <item x="430"/>
        <item x="354"/>
        <item x="366"/>
        <item x="124"/>
        <item x="364"/>
        <item x="93"/>
        <item x="95"/>
        <item x="367"/>
        <item x="428"/>
        <item x="184"/>
        <item x="256"/>
        <item x="429"/>
        <item x="396"/>
        <item x="197"/>
        <item x="399"/>
        <item x="128"/>
        <item x="363"/>
        <item x="68"/>
        <item x="405"/>
        <item x="322"/>
        <item x="163"/>
        <item x="293"/>
        <item x="432"/>
        <item x="308"/>
        <item x="263"/>
        <item x="321"/>
        <item x="6"/>
        <item x="130"/>
        <item x="115"/>
        <item x="229"/>
        <item x="49"/>
        <item x="371"/>
        <item x="141"/>
        <item x="239"/>
        <item x="48"/>
        <item x="312"/>
        <item x="195"/>
        <item x="305"/>
        <item x="272"/>
        <item x="329"/>
        <item x="92"/>
        <item x="103"/>
        <item x="117"/>
        <item x="146"/>
        <item x="417"/>
        <item x="380"/>
        <item x="350"/>
        <item x="201"/>
        <item x="172"/>
        <item x="162"/>
        <item x="413"/>
        <item x="15"/>
        <item x="374"/>
        <item x="199"/>
        <item x="230"/>
        <item x="116"/>
        <item x="252"/>
        <item x="85"/>
        <item x="198"/>
        <item x="402"/>
        <item x="385"/>
        <item x="266"/>
        <item x="105"/>
        <item x="26"/>
        <item x="224"/>
        <item x="378"/>
        <item x="345"/>
        <item x="332"/>
        <item x="232"/>
        <item x="140"/>
        <item x="290"/>
        <item x="271"/>
        <item x="280"/>
        <item x="235"/>
        <item x="275"/>
        <item x="349"/>
        <item x="112"/>
        <item x="79"/>
        <item x="65"/>
        <item x="62"/>
        <item x="61"/>
        <item x="69"/>
        <item x="220"/>
        <item x="286"/>
        <item x="277"/>
        <item x="8"/>
        <item x="411"/>
        <item x="264"/>
        <item x="207"/>
        <item x="1"/>
        <item x="200"/>
        <item x="333"/>
        <item x="16"/>
        <item x="145"/>
        <item x="251"/>
        <item x="110"/>
        <item x="142"/>
        <item x="237"/>
        <item x="4"/>
        <item x="419"/>
        <item x="3"/>
        <item x="111"/>
        <item x="137"/>
        <item x="7"/>
        <item x="269"/>
        <item x="59"/>
        <item x="423"/>
        <item x="72"/>
        <item x="40"/>
        <item x="436"/>
        <item x="356"/>
        <item x="449"/>
        <item x="297"/>
        <item x="231"/>
        <item x="189"/>
        <item x="401"/>
        <item x="440"/>
        <item x="99"/>
        <item x="311"/>
        <item x="81"/>
        <item x="392"/>
        <item x="23"/>
        <item x="415"/>
        <item x="123"/>
        <item x="253"/>
        <item x="19"/>
        <item x="249"/>
        <item x="407"/>
        <item x="160"/>
        <item x="209"/>
        <item x="265"/>
        <item x="373"/>
        <item x="159"/>
        <item x="330"/>
        <item x="323"/>
        <item x="138"/>
        <item x="161"/>
        <item x="30"/>
        <item x="28"/>
        <item x="54"/>
        <item x="443"/>
        <item x="150"/>
        <item x="300"/>
        <item x="248"/>
        <item x="292"/>
        <item x="422"/>
        <item x="377"/>
        <item x="203"/>
        <item x="47"/>
        <item x="212"/>
        <item x="194"/>
        <item x="126"/>
        <item x="185"/>
        <item x="63"/>
        <item x="218"/>
        <item x="319"/>
        <item x="78"/>
        <item x="10"/>
        <item x="325"/>
        <item x="258"/>
        <item x="394"/>
        <item x="88"/>
        <item x="211"/>
        <item x="46"/>
        <item x="285"/>
        <item x="307"/>
        <item x="437"/>
        <item x="376"/>
        <item x="310"/>
        <item x="131"/>
        <item x="18"/>
        <item x="210"/>
        <item x="206"/>
        <item x="282"/>
        <item x="169"/>
        <item x="94"/>
        <item x="389"/>
        <item x="52"/>
        <item x="281"/>
        <item x="359"/>
        <item x="51"/>
        <item x="151"/>
        <item x="67"/>
        <item x="228"/>
        <item x="351"/>
        <item x="70"/>
        <item x="238"/>
        <item x="216"/>
        <item x="113"/>
        <item x="152"/>
        <item x="166"/>
        <item x="244"/>
        <item x="236"/>
        <item x="148"/>
        <item x="391"/>
        <item x="114"/>
        <item x="309"/>
        <item x="327"/>
        <item x="34"/>
        <item x="41"/>
        <item x="414"/>
        <item x="315"/>
        <item x="202"/>
        <item x="104"/>
        <item x="173"/>
        <item x="38"/>
        <item x="420"/>
        <item x="183"/>
        <item x="75"/>
        <item x="21"/>
        <item x="267"/>
        <item x="60"/>
        <item x="375"/>
        <item x="274"/>
        <item x="328"/>
        <item x="57"/>
        <item x="165"/>
        <item x="90"/>
        <item x="317"/>
        <item x="439"/>
        <item x="178"/>
        <item x="102"/>
        <item x="176"/>
        <item x="299"/>
        <item x="127"/>
        <item x="416"/>
        <item x="448"/>
        <item x="262"/>
        <item x="118"/>
        <item x="426"/>
        <item x="32"/>
        <item x="205"/>
        <item t="default"/>
      </items>
    </pivotField>
    <pivotField dataField="1" showAll="0">
      <items count="181">
        <item x="48"/>
        <item x="169"/>
        <item x="101"/>
        <item x="32"/>
        <item x="114"/>
        <item x="60"/>
        <item x="43"/>
        <item x="88"/>
        <item x="162"/>
        <item x="178"/>
        <item x="41"/>
        <item x="7"/>
        <item x="15"/>
        <item x="80"/>
        <item x="11"/>
        <item x="116"/>
        <item x="161"/>
        <item x="130"/>
        <item x="36"/>
        <item x="131"/>
        <item x="126"/>
        <item x="21"/>
        <item x="155"/>
        <item x="122"/>
        <item x="118"/>
        <item x="97"/>
        <item x="30"/>
        <item x="113"/>
        <item x="17"/>
        <item x="144"/>
        <item x="136"/>
        <item x="62"/>
        <item x="104"/>
        <item x="90"/>
        <item x="102"/>
        <item x="84"/>
        <item x="153"/>
        <item x="132"/>
        <item x="135"/>
        <item x="150"/>
        <item x="170"/>
        <item x="174"/>
        <item x="82"/>
        <item x="156"/>
        <item x="34"/>
        <item x="28"/>
        <item x="173"/>
        <item x="83"/>
        <item x="140"/>
        <item x="87"/>
        <item x="51"/>
        <item x="64"/>
        <item x="74"/>
        <item x="106"/>
        <item x="26"/>
        <item x="163"/>
        <item x="57"/>
        <item x="35"/>
        <item x="69"/>
        <item x="143"/>
        <item x="13"/>
        <item x="121"/>
        <item x="68"/>
        <item x="38"/>
        <item x="167"/>
        <item x="145"/>
        <item x="98"/>
        <item x="18"/>
        <item x="50"/>
        <item x="75"/>
        <item x="66"/>
        <item x="125"/>
        <item x="95"/>
        <item x="142"/>
        <item x="49"/>
        <item x="45"/>
        <item x="164"/>
        <item x="139"/>
        <item x="4"/>
        <item x="91"/>
        <item x="63"/>
        <item x="71"/>
        <item x="5"/>
        <item x="20"/>
        <item x="133"/>
        <item x="40"/>
        <item x="107"/>
        <item x="6"/>
        <item x="10"/>
        <item x="16"/>
        <item x="61"/>
        <item x="110"/>
        <item x="33"/>
        <item x="158"/>
        <item x="42"/>
        <item x="149"/>
        <item x="3"/>
        <item x="119"/>
        <item x="39"/>
        <item x="124"/>
        <item x="86"/>
        <item x="85"/>
        <item x="81"/>
        <item x="159"/>
        <item x="168"/>
        <item x="8"/>
        <item x="44"/>
        <item x="31"/>
        <item x="59"/>
        <item x="78"/>
        <item x="93"/>
        <item x="79"/>
        <item x="105"/>
        <item x="27"/>
        <item x="109"/>
        <item x="108"/>
        <item x="89"/>
        <item x="115"/>
        <item x="2"/>
        <item x="47"/>
        <item x="151"/>
        <item x="24"/>
        <item x="56"/>
        <item x="137"/>
        <item x="154"/>
        <item x="166"/>
        <item x="46"/>
        <item x="19"/>
        <item x="1"/>
        <item x="22"/>
        <item x="25"/>
        <item x="72"/>
        <item x="54"/>
        <item x="129"/>
        <item x="12"/>
        <item x="100"/>
        <item x="53"/>
        <item x="148"/>
        <item x="14"/>
        <item x="77"/>
        <item x="94"/>
        <item x="112"/>
        <item x="67"/>
        <item x="128"/>
        <item x="123"/>
        <item x="177"/>
        <item x="52"/>
        <item x="120"/>
        <item x="175"/>
        <item x="134"/>
        <item x="117"/>
        <item x="111"/>
        <item x="157"/>
        <item x="127"/>
        <item x="171"/>
        <item x="160"/>
        <item x="138"/>
        <item x="37"/>
        <item x="70"/>
        <item x="172"/>
        <item x="99"/>
        <item x="96"/>
        <item x="23"/>
        <item x="58"/>
        <item x="92"/>
        <item x="9"/>
        <item x="147"/>
        <item x="146"/>
        <item x="152"/>
        <item x="176"/>
        <item x="29"/>
        <item x="103"/>
        <item x="179"/>
        <item x="0"/>
        <item x="55"/>
        <item x="65"/>
        <item x="141"/>
        <item x="165"/>
        <item x="73"/>
        <item x="76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Units_Sold" fld="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7467A-9EFB-4F04-8AAD-415869805CF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_Method" fld="6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02754-49B7-470F-A7C5-01B0944E5E2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_USD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6F436-A7F4-4089-B02A-A4A12E6199AE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1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axis="axisRow" showAll="0" sortType="descending">
      <items count="8">
        <item x="0"/>
        <item x="3"/>
        <item x="6"/>
        <item x="1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 v="6"/>
    </i>
    <i>
      <x v="4"/>
    </i>
    <i>
      <x v="3"/>
    </i>
    <i>
      <x v="5"/>
    </i>
    <i>
      <x v="1"/>
    </i>
    <i>
      <x/>
    </i>
    <i>
      <x v="2"/>
    </i>
    <i t="grand">
      <x/>
    </i>
  </rowItems>
  <colItems count="1">
    <i/>
  </colItems>
  <dataFields count="1">
    <dataField name="Sum of Revenue_USD" fld="9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568E1-F1D9-4058-B6C1-9783A649F2C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25:B33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axis="axisRow" showAll="0" sortType="descending">
      <items count="8">
        <item x="0"/>
        <item x="3"/>
        <item x="6"/>
        <item x="1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 v="6"/>
    </i>
    <i>
      <x v="4"/>
    </i>
    <i>
      <x v="3"/>
    </i>
    <i>
      <x v="5"/>
    </i>
    <i>
      <x v="1"/>
    </i>
    <i>
      <x/>
    </i>
    <i>
      <x v="2"/>
    </i>
    <i t="grand">
      <x/>
    </i>
  </rowItems>
  <colItems count="1">
    <i/>
  </colItems>
  <dataFields count="1">
    <dataField name="Sum of Revenue_USD" fld="9" showDataAs="percentOfTotal" baseField="2" baseItem="3" numFmtId="1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8418B-87BD-4846-A2E5-E2B39312C09B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2:B29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axis="axisRow" showAll="0" sortType="descending">
      <items count="7">
        <item x="1"/>
        <item x="5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1"/>
    </i>
    <i>
      <x v="3"/>
    </i>
    <i>
      <x v="4"/>
    </i>
    <i>
      <x/>
    </i>
    <i>
      <x v="2"/>
    </i>
    <i>
      <x v="5"/>
    </i>
    <i t="grand">
      <x/>
    </i>
  </rowItems>
  <colItems count="1">
    <i/>
  </colItems>
  <dataFields count="1">
    <dataField name="Sum of Revenue_USD" fld="9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0085B-868C-4882-91A0-B95E03752849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axis="axisRow" showAll="0" sortType="descending">
      <items count="7">
        <item x="1"/>
        <item x="5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1"/>
    </i>
    <i>
      <x v="3"/>
    </i>
    <i>
      <x v="4"/>
    </i>
    <i>
      <x/>
    </i>
    <i>
      <x v="2"/>
    </i>
    <i>
      <x v="5"/>
    </i>
    <i t="grand">
      <x/>
    </i>
  </rowItems>
  <colItems count="1">
    <i/>
  </colItems>
  <dataFields count="1">
    <dataField name="Sum of Revenue_USD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0C0F2-20E0-4A4D-826B-D6960A6B4884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axis="axisRow" showAll="0" sortType="descending">
      <items count="7">
        <item x="1"/>
        <item x="5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1"/>
    </i>
    <i>
      <x v="3"/>
    </i>
    <i>
      <x/>
    </i>
    <i>
      <x v="4"/>
    </i>
    <i>
      <x v="5"/>
    </i>
    <i>
      <x v="2"/>
    </i>
    <i t="grand">
      <x/>
    </i>
  </rowItems>
  <colItems count="1">
    <i/>
  </colItems>
  <dataFields count="1">
    <dataField name="Sum of Units_Sold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67010-4AB8-4B0F-A540-7F0F3CF9F302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3:B30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axis="axisRow" showAll="0" sortType="descending">
      <items count="7">
        <item x="1"/>
        <item x="5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1"/>
    </i>
    <i>
      <x v="3"/>
    </i>
    <i>
      <x/>
    </i>
    <i>
      <x v="4"/>
    </i>
    <i>
      <x v="5"/>
    </i>
    <i>
      <x v="2"/>
    </i>
    <i t="grand">
      <x/>
    </i>
  </rowItems>
  <colItems count="1">
    <i/>
  </colItems>
  <dataFields count="1">
    <dataField name="Sum of Units_Sold" fld="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1C9FC-0561-40ED-A057-42F537379DA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12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Sum of Revenue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26D2A-3797-43F3-88A0-9AE55F4192A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2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Count of Sal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2DCB0-DFCA-4C72-B200-068A8A485EC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12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Sum of Units_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1AC8DB-1644-40E0-A280-D2AEF4113472}" autoFormatId="16" applyNumberFormats="0" applyBorderFormats="0" applyFontFormats="0" applyPatternFormats="0" applyAlignmentFormats="0" applyWidthHeightFormats="0">
  <queryTableRefresh nextId="11">
    <queryTableFields count="10">
      <queryTableField id="1" name="Sale_ID" tableColumnId="1"/>
      <queryTableField id="2" name="Date" tableColumnId="2"/>
      <queryTableField id="3" name="Brand" tableColumnId="3"/>
      <queryTableField id="4" name="Product_Type" tableColumnId="4"/>
      <queryTableField id="5" name="Country" tableColumnId="5"/>
      <queryTableField id="6" name="Sales_Channel" tableColumnId="6"/>
      <queryTableField id="7" name="Payment_Method" tableColumnId="7"/>
      <queryTableField id="8" name="Price_USD" tableColumnId="8"/>
      <queryTableField id="9" name="Units_Sold" tableColumnId="9"/>
      <queryTableField id="10" name="Revenue_US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75AEF-1E3B-4DF0-BB40-1F3121951535}" name="chocolate_sales_2025_dataset" displayName="chocolate_sales_2025_dataset" ref="A1:J501" tableType="queryTable" totalsRowShown="0">
  <autoFilter ref="A1:J501" xr:uid="{AAF75AEF-1E3B-4DF0-BB40-1F3121951535}"/>
  <tableColumns count="10">
    <tableColumn id="1" xr3:uid="{3765C706-5134-4B52-8E20-DBF2604CCC41}" uniqueName="1" name="Sale_ID" queryTableFieldId="1"/>
    <tableColumn id="2" xr3:uid="{CF0CBDE1-F845-4904-886B-66E3F23D6993}" uniqueName="2" name="Date" queryTableFieldId="2" dataDxfId="5"/>
    <tableColumn id="3" xr3:uid="{87B65396-C473-4DAD-B52A-56618220034A}" uniqueName="3" name="Brand" queryTableFieldId="3" dataDxfId="4"/>
    <tableColumn id="4" xr3:uid="{4F00B817-2BFB-4CBA-87B3-1C5EEFD58FEF}" uniqueName="4" name="Product_Type" queryTableFieldId="4" dataDxfId="3"/>
    <tableColumn id="5" xr3:uid="{DF88C7FD-74E7-4D33-AC64-57EE24E0135E}" uniqueName="5" name="Country" queryTableFieldId="5" dataDxfId="2"/>
    <tableColumn id="6" xr3:uid="{56A83D99-0B43-45F6-BAAE-AEABA7283B2E}" uniqueName="6" name="Sales_Channel" queryTableFieldId="6" dataDxfId="1"/>
    <tableColumn id="7" xr3:uid="{53D6E02D-E88E-4EC6-BE29-5A857BD7C798}" uniqueName="7" name="Payment_Method" queryTableFieldId="7" dataDxfId="0"/>
    <tableColumn id="8" xr3:uid="{FD898733-9274-4BA8-8BD6-F70D09540A80}" uniqueName="8" name="Price_USD" queryTableFieldId="8"/>
    <tableColumn id="9" xr3:uid="{DC6A4827-57C5-4C82-AF54-2F5A20291134}" uniqueName="9" name="Units_Sold" queryTableFieldId="9"/>
    <tableColumn id="10" xr3:uid="{3C6DB496-7813-458E-9ED8-8199DAA85C81}" uniqueName="10" name="Revenue_US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EF27-5F16-4953-8173-012309350CF8}">
  <dimension ref="A1:J501"/>
  <sheetViews>
    <sheetView workbookViewId="0">
      <selection activeCell="J1" sqref="J1:J1048576"/>
    </sheetView>
  </sheetViews>
  <sheetFormatPr defaultRowHeight="15" x14ac:dyDescent="0.25"/>
  <cols>
    <col min="1" max="1" width="10" bestFit="1" customWidth="1"/>
    <col min="2" max="2" width="10.42578125" bestFit="1" customWidth="1"/>
    <col min="3" max="3" width="9.85546875" bestFit="1" customWidth="1"/>
    <col min="4" max="4" width="15.5703125" bestFit="1" customWidth="1"/>
    <col min="5" max="5" width="12.28515625" bestFit="1" customWidth="1"/>
    <col min="6" max="6" width="17.28515625" bestFit="1" customWidth="1"/>
    <col min="7" max="7" width="19" bestFit="1" customWidth="1"/>
    <col min="8" max="8" width="12.5703125" bestFit="1" customWidth="1"/>
    <col min="9" max="9" width="12.85546875" bestFit="1" customWidth="1"/>
    <col min="10" max="10" width="1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45985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</v>
      </c>
      <c r="I2">
        <v>194</v>
      </c>
      <c r="J2">
        <v>970</v>
      </c>
    </row>
    <row r="3" spans="1:10" x14ac:dyDescent="0.25">
      <c r="A3">
        <v>2</v>
      </c>
      <c r="B3" s="1">
        <v>45710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17.73</v>
      </c>
      <c r="I3">
        <v>144</v>
      </c>
      <c r="J3">
        <v>2553.12</v>
      </c>
    </row>
    <row r="4" spans="1:10" x14ac:dyDescent="0.25">
      <c r="A4">
        <v>3</v>
      </c>
      <c r="B4" s="1">
        <v>45705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>
        <v>7.42</v>
      </c>
      <c r="I4">
        <v>134</v>
      </c>
      <c r="J4">
        <v>994.28</v>
      </c>
    </row>
    <row r="5" spans="1:10" x14ac:dyDescent="0.25">
      <c r="A5">
        <v>4</v>
      </c>
      <c r="B5" s="1">
        <v>45990</v>
      </c>
      <c r="C5" t="s">
        <v>23</v>
      </c>
      <c r="D5" t="s">
        <v>24</v>
      </c>
      <c r="E5" t="s">
        <v>25</v>
      </c>
      <c r="F5" t="s">
        <v>26</v>
      </c>
      <c r="G5" t="s">
        <v>19</v>
      </c>
      <c r="H5">
        <v>18.28</v>
      </c>
      <c r="I5">
        <v>112</v>
      </c>
      <c r="J5">
        <v>2047.36</v>
      </c>
    </row>
    <row r="6" spans="1:10" x14ac:dyDescent="0.25">
      <c r="A6">
        <v>5</v>
      </c>
      <c r="B6" s="1">
        <v>45739</v>
      </c>
      <c r="C6" t="s">
        <v>10</v>
      </c>
      <c r="D6" t="s">
        <v>11</v>
      </c>
      <c r="E6" t="s">
        <v>12</v>
      </c>
      <c r="F6" t="s">
        <v>26</v>
      </c>
      <c r="G6" t="s">
        <v>19</v>
      </c>
      <c r="H6">
        <v>18.21</v>
      </c>
      <c r="I6">
        <v>92</v>
      </c>
      <c r="J6">
        <v>1675.32</v>
      </c>
    </row>
    <row r="7" spans="1:10" x14ac:dyDescent="0.25">
      <c r="A7">
        <v>6</v>
      </c>
      <c r="B7" s="1">
        <v>45705</v>
      </c>
      <c r="C7" t="s">
        <v>27</v>
      </c>
      <c r="D7" t="s">
        <v>28</v>
      </c>
      <c r="E7" t="s">
        <v>25</v>
      </c>
      <c r="F7" t="s">
        <v>26</v>
      </c>
      <c r="G7" t="s">
        <v>19</v>
      </c>
      <c r="H7">
        <v>11.05</v>
      </c>
      <c r="I7">
        <v>96</v>
      </c>
      <c r="J7">
        <v>1060.8</v>
      </c>
    </row>
    <row r="8" spans="1:10" x14ac:dyDescent="0.25">
      <c r="A8">
        <v>7</v>
      </c>
      <c r="B8" s="1">
        <v>45893</v>
      </c>
      <c r="C8" t="s">
        <v>15</v>
      </c>
      <c r="D8" t="s">
        <v>16</v>
      </c>
      <c r="E8" t="s">
        <v>29</v>
      </c>
      <c r="F8" t="s">
        <v>26</v>
      </c>
      <c r="G8" t="s">
        <v>14</v>
      </c>
      <c r="H8">
        <v>14.57</v>
      </c>
      <c r="I8">
        <v>101</v>
      </c>
      <c r="J8">
        <v>1471.57</v>
      </c>
    </row>
    <row r="9" spans="1:10" x14ac:dyDescent="0.25">
      <c r="A9">
        <v>8</v>
      </c>
      <c r="B9" s="1">
        <v>45756</v>
      </c>
      <c r="C9" t="s">
        <v>30</v>
      </c>
      <c r="D9" t="s">
        <v>11</v>
      </c>
      <c r="E9" t="s">
        <v>29</v>
      </c>
      <c r="F9" t="s">
        <v>18</v>
      </c>
      <c r="G9" t="s">
        <v>19</v>
      </c>
      <c r="H9">
        <v>18.350000000000001</v>
      </c>
      <c r="I9">
        <v>16</v>
      </c>
      <c r="J9">
        <v>293.60000000000002</v>
      </c>
    </row>
    <row r="10" spans="1:10" x14ac:dyDescent="0.25">
      <c r="A10">
        <v>9</v>
      </c>
      <c r="B10" s="1">
        <v>45709</v>
      </c>
      <c r="C10" t="s">
        <v>30</v>
      </c>
      <c r="D10" t="s">
        <v>28</v>
      </c>
      <c r="E10" t="s">
        <v>31</v>
      </c>
      <c r="F10" t="s">
        <v>26</v>
      </c>
      <c r="G10" t="s">
        <v>32</v>
      </c>
      <c r="H10">
        <v>11.05</v>
      </c>
      <c r="I10">
        <v>121</v>
      </c>
      <c r="J10">
        <v>1337.05</v>
      </c>
    </row>
    <row r="11" spans="1:10" x14ac:dyDescent="0.25">
      <c r="A11">
        <v>10</v>
      </c>
      <c r="B11" s="1">
        <v>45765</v>
      </c>
      <c r="C11" t="s">
        <v>30</v>
      </c>
      <c r="D11" t="s">
        <v>33</v>
      </c>
      <c r="E11" t="s">
        <v>34</v>
      </c>
      <c r="F11" t="s">
        <v>13</v>
      </c>
      <c r="G11" t="s">
        <v>14</v>
      </c>
      <c r="H11">
        <v>17.579999999999998</v>
      </c>
      <c r="I11">
        <v>184</v>
      </c>
      <c r="J11">
        <v>3234.72</v>
      </c>
    </row>
    <row r="12" spans="1:10" x14ac:dyDescent="0.25">
      <c r="A12">
        <v>11</v>
      </c>
      <c r="B12" s="1">
        <v>45783</v>
      </c>
      <c r="C12" t="s">
        <v>10</v>
      </c>
      <c r="D12" t="s">
        <v>33</v>
      </c>
      <c r="E12" t="s">
        <v>22</v>
      </c>
      <c r="F12" t="s">
        <v>13</v>
      </c>
      <c r="G12" t="s">
        <v>14</v>
      </c>
      <c r="H12">
        <v>6.18</v>
      </c>
      <c r="I12">
        <v>102</v>
      </c>
      <c r="J12">
        <v>630.36</v>
      </c>
    </row>
    <row r="13" spans="1:10" x14ac:dyDescent="0.25">
      <c r="A13">
        <v>12</v>
      </c>
      <c r="B13" s="1">
        <v>45824</v>
      </c>
      <c r="C13" t="s">
        <v>23</v>
      </c>
      <c r="D13" t="s">
        <v>21</v>
      </c>
      <c r="E13" t="s">
        <v>35</v>
      </c>
      <c r="F13" t="s">
        <v>36</v>
      </c>
      <c r="G13" t="s">
        <v>32</v>
      </c>
      <c r="H13">
        <v>21.46</v>
      </c>
      <c r="I13">
        <v>19</v>
      </c>
      <c r="J13">
        <v>407.74</v>
      </c>
    </row>
    <row r="14" spans="1:10" x14ac:dyDescent="0.25">
      <c r="A14">
        <v>13</v>
      </c>
      <c r="B14" s="1">
        <v>45691</v>
      </c>
      <c r="C14" t="s">
        <v>30</v>
      </c>
      <c r="D14" t="s">
        <v>28</v>
      </c>
      <c r="E14" t="s">
        <v>12</v>
      </c>
      <c r="F14" t="s">
        <v>36</v>
      </c>
      <c r="G14" t="s">
        <v>32</v>
      </c>
      <c r="H14">
        <v>7.25</v>
      </c>
      <c r="I14">
        <v>150</v>
      </c>
      <c r="J14">
        <v>1087.5</v>
      </c>
    </row>
    <row r="15" spans="1:10" x14ac:dyDescent="0.25">
      <c r="A15">
        <v>14</v>
      </c>
      <c r="B15" s="1">
        <v>45987</v>
      </c>
      <c r="C15" t="s">
        <v>23</v>
      </c>
      <c r="D15" t="s">
        <v>11</v>
      </c>
      <c r="E15" t="s">
        <v>22</v>
      </c>
      <c r="F15" t="s">
        <v>26</v>
      </c>
      <c r="G15" t="s">
        <v>14</v>
      </c>
      <c r="H15">
        <v>12.82</v>
      </c>
      <c r="I15">
        <v>72</v>
      </c>
      <c r="J15">
        <v>923.04</v>
      </c>
    </row>
    <row r="16" spans="1:10" x14ac:dyDescent="0.25">
      <c r="A16">
        <v>15</v>
      </c>
      <c r="B16" s="1">
        <v>45957</v>
      </c>
      <c r="C16" t="s">
        <v>37</v>
      </c>
      <c r="D16" t="s">
        <v>28</v>
      </c>
      <c r="E16" t="s">
        <v>12</v>
      </c>
      <c r="F16" t="s">
        <v>13</v>
      </c>
      <c r="G16" t="s">
        <v>14</v>
      </c>
      <c r="H16">
        <v>12.14</v>
      </c>
      <c r="I16">
        <v>154</v>
      </c>
      <c r="J16">
        <v>1869.56</v>
      </c>
    </row>
    <row r="17" spans="1:10" x14ac:dyDescent="0.25">
      <c r="A17">
        <v>16</v>
      </c>
      <c r="B17" s="1">
        <v>45910</v>
      </c>
      <c r="C17" t="s">
        <v>27</v>
      </c>
      <c r="D17" t="s">
        <v>21</v>
      </c>
      <c r="E17" t="s">
        <v>31</v>
      </c>
      <c r="F17" t="s">
        <v>13</v>
      </c>
      <c r="G17" t="s">
        <v>14</v>
      </c>
      <c r="H17">
        <v>4.55</v>
      </c>
      <c r="I17">
        <v>17</v>
      </c>
      <c r="J17">
        <v>77.349999999999994</v>
      </c>
    </row>
    <row r="18" spans="1:10" x14ac:dyDescent="0.25">
      <c r="A18">
        <v>17</v>
      </c>
      <c r="B18" s="1">
        <v>45874</v>
      </c>
      <c r="C18" t="s">
        <v>37</v>
      </c>
      <c r="D18" t="s">
        <v>16</v>
      </c>
      <c r="E18" t="s">
        <v>38</v>
      </c>
      <c r="F18" t="s">
        <v>26</v>
      </c>
      <c r="G18" t="s">
        <v>14</v>
      </c>
      <c r="H18">
        <v>15.92</v>
      </c>
      <c r="I18">
        <v>103</v>
      </c>
      <c r="J18">
        <v>1639.76</v>
      </c>
    </row>
    <row r="19" spans="1:10" x14ac:dyDescent="0.25">
      <c r="A19">
        <v>18</v>
      </c>
      <c r="B19" s="1">
        <v>45663</v>
      </c>
      <c r="C19" t="s">
        <v>30</v>
      </c>
      <c r="D19" t="s">
        <v>16</v>
      </c>
      <c r="E19" t="s">
        <v>29</v>
      </c>
      <c r="F19" t="s">
        <v>26</v>
      </c>
      <c r="G19" t="s">
        <v>19</v>
      </c>
      <c r="H19">
        <v>17.809999999999999</v>
      </c>
      <c r="I19">
        <v>34</v>
      </c>
      <c r="J19">
        <v>605.54</v>
      </c>
    </row>
    <row r="20" spans="1:10" x14ac:dyDescent="0.25">
      <c r="A20">
        <v>19</v>
      </c>
      <c r="B20" s="1">
        <v>45808</v>
      </c>
      <c r="C20" t="s">
        <v>15</v>
      </c>
      <c r="D20" t="s">
        <v>33</v>
      </c>
      <c r="E20" t="s">
        <v>29</v>
      </c>
      <c r="F20" t="s">
        <v>13</v>
      </c>
      <c r="G20" t="s">
        <v>14</v>
      </c>
      <c r="H20">
        <v>12.28</v>
      </c>
      <c r="I20">
        <v>121</v>
      </c>
      <c r="J20">
        <v>1485.88</v>
      </c>
    </row>
    <row r="21" spans="1:10" x14ac:dyDescent="0.25">
      <c r="A21">
        <v>20</v>
      </c>
      <c r="B21" s="1">
        <v>45712</v>
      </c>
      <c r="C21" t="s">
        <v>27</v>
      </c>
      <c r="D21" t="s">
        <v>33</v>
      </c>
      <c r="E21" t="s">
        <v>22</v>
      </c>
      <c r="F21" t="s">
        <v>13</v>
      </c>
      <c r="G21" t="s">
        <v>19</v>
      </c>
      <c r="H21">
        <v>22.09</v>
      </c>
      <c r="I21">
        <v>81</v>
      </c>
      <c r="J21">
        <v>1789.29</v>
      </c>
    </row>
    <row r="22" spans="1:10" x14ac:dyDescent="0.25">
      <c r="A22">
        <v>21</v>
      </c>
      <c r="B22" s="1">
        <v>45849</v>
      </c>
      <c r="C22" t="s">
        <v>27</v>
      </c>
      <c r="D22" t="s">
        <v>16</v>
      </c>
      <c r="E22" t="s">
        <v>39</v>
      </c>
      <c r="F22" t="s">
        <v>26</v>
      </c>
      <c r="G22" t="s">
        <v>32</v>
      </c>
      <c r="H22">
        <v>19.66</v>
      </c>
      <c r="I22">
        <v>143</v>
      </c>
      <c r="J22">
        <v>2811.38</v>
      </c>
    </row>
    <row r="23" spans="1:10" x14ac:dyDescent="0.25">
      <c r="A23">
        <v>22</v>
      </c>
      <c r="B23" s="1">
        <v>45667</v>
      </c>
      <c r="C23" t="s">
        <v>27</v>
      </c>
      <c r="D23" t="s">
        <v>28</v>
      </c>
      <c r="E23" t="s">
        <v>12</v>
      </c>
      <c r="F23" t="s">
        <v>18</v>
      </c>
      <c r="G23" t="s">
        <v>19</v>
      </c>
      <c r="H23">
        <v>5.0199999999999996</v>
      </c>
      <c r="I23">
        <v>97</v>
      </c>
      <c r="J23">
        <v>486.94</v>
      </c>
    </row>
    <row r="24" spans="1:10" x14ac:dyDescent="0.25">
      <c r="A24">
        <v>23</v>
      </c>
      <c r="B24" s="1">
        <v>45948</v>
      </c>
      <c r="C24" t="s">
        <v>30</v>
      </c>
      <c r="D24" t="s">
        <v>24</v>
      </c>
      <c r="E24" t="s">
        <v>34</v>
      </c>
      <c r="F24" t="s">
        <v>13</v>
      </c>
      <c r="G24" t="s">
        <v>19</v>
      </c>
      <c r="H24">
        <v>23.81</v>
      </c>
      <c r="I24">
        <v>26</v>
      </c>
      <c r="J24">
        <v>619.05999999999995</v>
      </c>
    </row>
    <row r="25" spans="1:10" x14ac:dyDescent="0.25">
      <c r="A25">
        <v>24</v>
      </c>
      <c r="B25" s="1">
        <v>45995</v>
      </c>
      <c r="C25" t="s">
        <v>23</v>
      </c>
      <c r="D25" t="s">
        <v>28</v>
      </c>
      <c r="E25" t="s">
        <v>22</v>
      </c>
      <c r="F25" t="s">
        <v>36</v>
      </c>
      <c r="G25" t="s">
        <v>19</v>
      </c>
      <c r="H25">
        <v>13.19</v>
      </c>
      <c r="I25">
        <v>145</v>
      </c>
      <c r="J25">
        <v>1912.55</v>
      </c>
    </row>
    <row r="26" spans="1:10" x14ac:dyDescent="0.25">
      <c r="A26">
        <v>25</v>
      </c>
      <c r="B26" s="1">
        <v>45934</v>
      </c>
      <c r="C26" t="s">
        <v>23</v>
      </c>
      <c r="D26" t="s">
        <v>33</v>
      </c>
      <c r="E26" t="s">
        <v>29</v>
      </c>
      <c r="F26" t="s">
        <v>36</v>
      </c>
      <c r="G26" t="s">
        <v>14</v>
      </c>
      <c r="H26">
        <v>19.489999999999998</v>
      </c>
      <c r="I26">
        <v>181</v>
      </c>
      <c r="J26">
        <v>3527.69</v>
      </c>
    </row>
    <row r="27" spans="1:10" x14ac:dyDescent="0.25">
      <c r="A27">
        <v>26</v>
      </c>
      <c r="B27" s="1">
        <v>45990</v>
      </c>
      <c r="C27" t="s">
        <v>37</v>
      </c>
      <c r="D27" t="s">
        <v>21</v>
      </c>
      <c r="E27" t="s">
        <v>12</v>
      </c>
      <c r="F27" t="s">
        <v>13</v>
      </c>
      <c r="G27" t="s">
        <v>19</v>
      </c>
      <c r="H27">
        <v>10.9</v>
      </c>
      <c r="I27">
        <v>137</v>
      </c>
      <c r="J27">
        <v>1493.3</v>
      </c>
    </row>
    <row r="28" spans="1:10" x14ac:dyDescent="0.25">
      <c r="A28">
        <v>27</v>
      </c>
      <c r="B28" s="1">
        <v>45831</v>
      </c>
      <c r="C28" t="s">
        <v>23</v>
      </c>
      <c r="D28" t="s">
        <v>16</v>
      </c>
      <c r="E28" t="s">
        <v>12</v>
      </c>
      <c r="F28" t="s">
        <v>18</v>
      </c>
      <c r="G28" t="s">
        <v>19</v>
      </c>
      <c r="H28">
        <v>2.97</v>
      </c>
      <c r="I28">
        <v>146</v>
      </c>
      <c r="J28">
        <v>433.62</v>
      </c>
    </row>
    <row r="29" spans="1:10" x14ac:dyDescent="0.25">
      <c r="A29">
        <v>28</v>
      </c>
      <c r="B29" s="1">
        <v>46020</v>
      </c>
      <c r="C29" t="s">
        <v>15</v>
      </c>
      <c r="D29" t="s">
        <v>21</v>
      </c>
      <c r="E29" t="s">
        <v>35</v>
      </c>
      <c r="F29" t="s">
        <v>18</v>
      </c>
      <c r="G29" t="s">
        <v>14</v>
      </c>
      <c r="H29">
        <v>16.7</v>
      </c>
      <c r="I29">
        <v>63</v>
      </c>
      <c r="J29">
        <v>1052.0999999999999</v>
      </c>
    </row>
    <row r="30" spans="1:10" x14ac:dyDescent="0.25">
      <c r="A30">
        <v>29</v>
      </c>
      <c r="B30" s="1">
        <v>45779</v>
      </c>
      <c r="C30" t="s">
        <v>23</v>
      </c>
      <c r="D30" t="s">
        <v>16</v>
      </c>
      <c r="E30" t="s">
        <v>31</v>
      </c>
      <c r="F30" t="s">
        <v>36</v>
      </c>
      <c r="G30" t="s">
        <v>19</v>
      </c>
      <c r="H30">
        <v>8.77</v>
      </c>
      <c r="I30">
        <v>129</v>
      </c>
      <c r="J30">
        <v>1131.33</v>
      </c>
    </row>
    <row r="31" spans="1:10" x14ac:dyDescent="0.25">
      <c r="A31">
        <v>30</v>
      </c>
      <c r="B31" s="1">
        <v>45900</v>
      </c>
      <c r="C31" t="s">
        <v>15</v>
      </c>
      <c r="D31" t="s">
        <v>21</v>
      </c>
      <c r="E31" t="s">
        <v>17</v>
      </c>
      <c r="F31" t="s">
        <v>26</v>
      </c>
      <c r="G31" t="s">
        <v>32</v>
      </c>
      <c r="H31">
        <v>20.67</v>
      </c>
      <c r="I31">
        <v>53</v>
      </c>
      <c r="J31">
        <v>1095.51</v>
      </c>
    </row>
    <row r="32" spans="1:10" x14ac:dyDescent="0.25">
      <c r="A32">
        <v>31</v>
      </c>
      <c r="B32" s="1">
        <v>45868</v>
      </c>
      <c r="C32" t="s">
        <v>15</v>
      </c>
      <c r="D32" t="s">
        <v>33</v>
      </c>
      <c r="E32" t="s">
        <v>34</v>
      </c>
      <c r="F32" t="s">
        <v>18</v>
      </c>
      <c r="G32" t="s">
        <v>32</v>
      </c>
      <c r="H32">
        <v>13.01</v>
      </c>
      <c r="I32">
        <v>191</v>
      </c>
      <c r="J32">
        <v>2484.91</v>
      </c>
    </row>
    <row r="33" spans="1:10" x14ac:dyDescent="0.25">
      <c r="A33">
        <v>32</v>
      </c>
      <c r="B33" s="1">
        <v>45831</v>
      </c>
      <c r="C33" t="s">
        <v>23</v>
      </c>
      <c r="D33" t="s">
        <v>11</v>
      </c>
      <c r="E33" t="s">
        <v>12</v>
      </c>
      <c r="F33" t="s">
        <v>36</v>
      </c>
      <c r="G33" t="s">
        <v>19</v>
      </c>
      <c r="H33">
        <v>20.51</v>
      </c>
      <c r="I33">
        <v>32</v>
      </c>
      <c r="J33">
        <v>656.32</v>
      </c>
    </row>
    <row r="34" spans="1:10" x14ac:dyDescent="0.25">
      <c r="A34">
        <v>33</v>
      </c>
      <c r="B34" s="1">
        <v>45874</v>
      </c>
      <c r="C34" t="s">
        <v>23</v>
      </c>
      <c r="D34" t="s">
        <v>21</v>
      </c>
      <c r="E34" t="s">
        <v>38</v>
      </c>
      <c r="F34" t="s">
        <v>18</v>
      </c>
      <c r="G34" t="s">
        <v>19</v>
      </c>
      <c r="H34">
        <v>6.63</v>
      </c>
      <c r="I34">
        <v>123</v>
      </c>
      <c r="J34">
        <v>815.49</v>
      </c>
    </row>
    <row r="35" spans="1:10" x14ac:dyDescent="0.25">
      <c r="A35">
        <v>34</v>
      </c>
      <c r="B35" s="1">
        <v>45991</v>
      </c>
      <c r="C35" t="s">
        <v>15</v>
      </c>
      <c r="D35" t="s">
        <v>11</v>
      </c>
      <c r="E35" t="s">
        <v>31</v>
      </c>
      <c r="F35" t="s">
        <v>36</v>
      </c>
      <c r="G35" t="s">
        <v>32</v>
      </c>
      <c r="H35">
        <v>24.98</v>
      </c>
      <c r="I35">
        <v>8</v>
      </c>
      <c r="J35">
        <v>199.84</v>
      </c>
    </row>
    <row r="36" spans="1:10" x14ac:dyDescent="0.25">
      <c r="A36">
        <v>35</v>
      </c>
      <c r="B36" s="1">
        <v>45904</v>
      </c>
      <c r="C36" t="s">
        <v>15</v>
      </c>
      <c r="D36" t="s">
        <v>11</v>
      </c>
      <c r="E36" t="s">
        <v>17</v>
      </c>
      <c r="F36" t="s">
        <v>18</v>
      </c>
      <c r="G36" t="s">
        <v>32</v>
      </c>
      <c r="H36">
        <v>7.31</v>
      </c>
      <c r="I36">
        <v>107</v>
      </c>
      <c r="J36">
        <v>782.17</v>
      </c>
    </row>
    <row r="37" spans="1:10" x14ac:dyDescent="0.25">
      <c r="A37">
        <v>36</v>
      </c>
      <c r="B37" s="1">
        <v>45793</v>
      </c>
      <c r="C37" t="s">
        <v>10</v>
      </c>
      <c r="D37" t="s">
        <v>24</v>
      </c>
      <c r="E37" t="s">
        <v>22</v>
      </c>
      <c r="F37" t="s">
        <v>36</v>
      </c>
      <c r="G37" t="s">
        <v>19</v>
      </c>
      <c r="H37">
        <v>23.35</v>
      </c>
      <c r="I37">
        <v>121</v>
      </c>
      <c r="J37">
        <v>2825.35</v>
      </c>
    </row>
    <row r="38" spans="1:10" x14ac:dyDescent="0.25">
      <c r="A38">
        <v>37</v>
      </c>
      <c r="B38" s="1">
        <v>45755</v>
      </c>
      <c r="C38" t="s">
        <v>20</v>
      </c>
      <c r="D38" t="s">
        <v>33</v>
      </c>
      <c r="E38" t="s">
        <v>22</v>
      </c>
      <c r="F38" t="s">
        <v>18</v>
      </c>
      <c r="G38" t="s">
        <v>14</v>
      </c>
      <c r="H38">
        <v>9.18</v>
      </c>
      <c r="I38">
        <v>19</v>
      </c>
      <c r="J38">
        <v>174.42</v>
      </c>
    </row>
    <row r="39" spans="1:10" x14ac:dyDescent="0.25">
      <c r="A39">
        <v>38</v>
      </c>
      <c r="B39" s="1">
        <v>45818</v>
      </c>
      <c r="C39" t="s">
        <v>37</v>
      </c>
      <c r="D39" t="s">
        <v>16</v>
      </c>
      <c r="E39" t="s">
        <v>22</v>
      </c>
      <c r="F39" t="s">
        <v>13</v>
      </c>
      <c r="G39" t="s">
        <v>19</v>
      </c>
      <c r="H39">
        <v>3.79</v>
      </c>
      <c r="I39">
        <v>154</v>
      </c>
      <c r="J39">
        <v>583.66</v>
      </c>
    </row>
    <row r="40" spans="1:10" x14ac:dyDescent="0.25">
      <c r="A40">
        <v>39</v>
      </c>
      <c r="B40" s="1">
        <v>45918</v>
      </c>
      <c r="C40" t="s">
        <v>15</v>
      </c>
      <c r="D40" t="s">
        <v>16</v>
      </c>
      <c r="E40" t="s">
        <v>34</v>
      </c>
      <c r="F40" t="s">
        <v>13</v>
      </c>
      <c r="G40" t="s">
        <v>32</v>
      </c>
      <c r="H40">
        <v>4.3</v>
      </c>
      <c r="I40">
        <v>52</v>
      </c>
      <c r="J40">
        <v>223.6</v>
      </c>
    </row>
    <row r="41" spans="1:10" x14ac:dyDescent="0.25">
      <c r="A41">
        <v>40</v>
      </c>
      <c r="B41" s="1">
        <v>45719</v>
      </c>
      <c r="C41" t="s">
        <v>23</v>
      </c>
      <c r="D41" t="s">
        <v>16</v>
      </c>
      <c r="E41" t="s">
        <v>25</v>
      </c>
      <c r="F41" t="s">
        <v>18</v>
      </c>
      <c r="G41" t="s">
        <v>14</v>
      </c>
      <c r="H41">
        <v>23.69</v>
      </c>
      <c r="I41">
        <v>150</v>
      </c>
      <c r="J41">
        <v>3553.5</v>
      </c>
    </row>
    <row r="42" spans="1:10" x14ac:dyDescent="0.25">
      <c r="A42">
        <v>41</v>
      </c>
      <c r="B42" s="1">
        <v>45699</v>
      </c>
      <c r="C42" t="s">
        <v>20</v>
      </c>
      <c r="D42" t="s">
        <v>16</v>
      </c>
      <c r="E42" t="s">
        <v>35</v>
      </c>
      <c r="F42" t="s">
        <v>26</v>
      </c>
      <c r="G42" t="s">
        <v>19</v>
      </c>
      <c r="H42">
        <v>11.93</v>
      </c>
      <c r="I42">
        <v>154</v>
      </c>
      <c r="J42">
        <v>1837.22</v>
      </c>
    </row>
    <row r="43" spans="1:10" x14ac:dyDescent="0.25">
      <c r="A43">
        <v>42</v>
      </c>
      <c r="B43" s="1">
        <v>46000</v>
      </c>
      <c r="C43" t="s">
        <v>10</v>
      </c>
      <c r="D43" t="s">
        <v>24</v>
      </c>
      <c r="E43" t="s">
        <v>31</v>
      </c>
      <c r="F43" t="s">
        <v>26</v>
      </c>
      <c r="G43" t="s">
        <v>32</v>
      </c>
      <c r="H43">
        <v>18.61</v>
      </c>
      <c r="I43">
        <v>66</v>
      </c>
      <c r="J43">
        <v>1228.26</v>
      </c>
    </row>
    <row r="44" spans="1:10" x14ac:dyDescent="0.25">
      <c r="A44">
        <v>43</v>
      </c>
      <c r="B44" s="1">
        <v>45819</v>
      </c>
      <c r="C44" t="s">
        <v>15</v>
      </c>
      <c r="D44" t="s">
        <v>24</v>
      </c>
      <c r="E44" t="s">
        <v>25</v>
      </c>
      <c r="F44" t="s">
        <v>18</v>
      </c>
      <c r="G44" t="s">
        <v>19</v>
      </c>
      <c r="H44">
        <v>23.4</v>
      </c>
      <c r="I44">
        <v>23</v>
      </c>
      <c r="J44">
        <v>538.20000000000005</v>
      </c>
    </row>
    <row r="45" spans="1:10" x14ac:dyDescent="0.25">
      <c r="A45">
        <v>44</v>
      </c>
      <c r="B45" s="1">
        <v>45933</v>
      </c>
      <c r="C45" t="s">
        <v>23</v>
      </c>
      <c r="D45" t="s">
        <v>28</v>
      </c>
      <c r="E45" t="s">
        <v>34</v>
      </c>
      <c r="F45" t="s">
        <v>13</v>
      </c>
      <c r="G45" t="s">
        <v>32</v>
      </c>
      <c r="H45">
        <v>7.3</v>
      </c>
      <c r="I45">
        <v>72</v>
      </c>
      <c r="J45">
        <v>525.6</v>
      </c>
    </row>
    <row r="46" spans="1:10" x14ac:dyDescent="0.25">
      <c r="A46">
        <v>45</v>
      </c>
      <c r="B46" s="1">
        <v>45803</v>
      </c>
      <c r="C46" t="s">
        <v>30</v>
      </c>
      <c r="D46" t="s">
        <v>28</v>
      </c>
      <c r="E46" t="s">
        <v>25</v>
      </c>
      <c r="F46" t="s">
        <v>18</v>
      </c>
      <c r="G46" t="s">
        <v>14</v>
      </c>
      <c r="H46">
        <v>6.05</v>
      </c>
      <c r="I46">
        <v>144</v>
      </c>
      <c r="J46">
        <v>871.2</v>
      </c>
    </row>
    <row r="47" spans="1:10" x14ac:dyDescent="0.25">
      <c r="A47">
        <v>46</v>
      </c>
      <c r="B47" s="1">
        <v>45941</v>
      </c>
      <c r="C47" t="s">
        <v>15</v>
      </c>
      <c r="D47" t="s">
        <v>11</v>
      </c>
      <c r="E47" t="s">
        <v>29</v>
      </c>
      <c r="F47" t="s">
        <v>18</v>
      </c>
      <c r="G47" t="s">
        <v>19</v>
      </c>
      <c r="H47">
        <v>9.24</v>
      </c>
      <c r="I47">
        <v>174</v>
      </c>
      <c r="J47">
        <v>1607.76</v>
      </c>
    </row>
    <row r="48" spans="1:10" x14ac:dyDescent="0.25">
      <c r="A48">
        <v>47</v>
      </c>
      <c r="B48" s="1">
        <v>45941</v>
      </c>
      <c r="C48" t="s">
        <v>20</v>
      </c>
      <c r="D48" t="s">
        <v>11</v>
      </c>
      <c r="E48" t="s">
        <v>35</v>
      </c>
      <c r="F48" t="s">
        <v>13</v>
      </c>
      <c r="G48" t="s">
        <v>14</v>
      </c>
      <c r="H48">
        <v>6</v>
      </c>
      <c r="I48">
        <v>77</v>
      </c>
      <c r="J48">
        <v>462</v>
      </c>
    </row>
    <row r="49" spans="1:10" x14ac:dyDescent="0.25">
      <c r="A49">
        <v>48</v>
      </c>
      <c r="B49" s="1">
        <v>45982</v>
      </c>
      <c r="C49" t="s">
        <v>37</v>
      </c>
      <c r="D49" t="s">
        <v>28</v>
      </c>
      <c r="E49" t="s">
        <v>39</v>
      </c>
      <c r="F49" t="s">
        <v>18</v>
      </c>
      <c r="G49" t="s">
        <v>14</v>
      </c>
      <c r="H49">
        <v>21.69</v>
      </c>
      <c r="I49">
        <v>134</v>
      </c>
      <c r="J49">
        <v>2906.46</v>
      </c>
    </row>
    <row r="50" spans="1:10" x14ac:dyDescent="0.25">
      <c r="A50">
        <v>49</v>
      </c>
      <c r="B50" s="1">
        <v>45874</v>
      </c>
      <c r="C50" t="s">
        <v>15</v>
      </c>
      <c r="D50" t="s">
        <v>28</v>
      </c>
      <c r="E50" t="s">
        <v>31</v>
      </c>
      <c r="F50" t="s">
        <v>26</v>
      </c>
      <c r="G50" t="s">
        <v>19</v>
      </c>
      <c r="H50">
        <v>21.16</v>
      </c>
      <c r="I50">
        <v>16</v>
      </c>
      <c r="J50">
        <v>338.56</v>
      </c>
    </row>
    <row r="51" spans="1:10" x14ac:dyDescent="0.25">
      <c r="A51">
        <v>50</v>
      </c>
      <c r="B51" s="1">
        <v>45884</v>
      </c>
      <c r="C51" t="s">
        <v>20</v>
      </c>
      <c r="D51" t="s">
        <v>21</v>
      </c>
      <c r="E51" t="s">
        <v>34</v>
      </c>
      <c r="F51" t="s">
        <v>18</v>
      </c>
      <c r="G51" t="s">
        <v>14</v>
      </c>
      <c r="H51">
        <v>14.91</v>
      </c>
      <c r="I51">
        <v>114</v>
      </c>
      <c r="J51">
        <v>1699.74</v>
      </c>
    </row>
    <row r="52" spans="1:10" x14ac:dyDescent="0.25">
      <c r="A52">
        <v>51</v>
      </c>
      <c r="B52" s="1">
        <v>45734</v>
      </c>
      <c r="C52" t="s">
        <v>20</v>
      </c>
      <c r="D52" t="s">
        <v>16</v>
      </c>
      <c r="E52" t="s">
        <v>31</v>
      </c>
      <c r="F52" t="s">
        <v>36</v>
      </c>
      <c r="G52" t="s">
        <v>19</v>
      </c>
      <c r="H52">
        <v>14.78</v>
      </c>
      <c r="I52">
        <v>99</v>
      </c>
      <c r="J52">
        <v>1463.22</v>
      </c>
    </row>
    <row r="53" spans="1:10" x14ac:dyDescent="0.25">
      <c r="A53">
        <v>52</v>
      </c>
      <c r="B53" s="1">
        <v>45679</v>
      </c>
      <c r="C53" t="s">
        <v>10</v>
      </c>
      <c r="D53" t="s">
        <v>11</v>
      </c>
      <c r="E53" t="s">
        <v>12</v>
      </c>
      <c r="F53" t="s">
        <v>18</v>
      </c>
      <c r="G53" t="s">
        <v>32</v>
      </c>
      <c r="H53">
        <v>9.44</v>
      </c>
      <c r="I53">
        <v>15</v>
      </c>
      <c r="J53">
        <v>141.6</v>
      </c>
    </row>
    <row r="54" spans="1:10" x14ac:dyDescent="0.25">
      <c r="A54">
        <v>53</v>
      </c>
      <c r="B54" s="1">
        <v>45944</v>
      </c>
      <c r="C54" t="s">
        <v>20</v>
      </c>
      <c r="D54" t="s">
        <v>33</v>
      </c>
      <c r="E54" t="s">
        <v>31</v>
      </c>
      <c r="F54" t="s">
        <v>13</v>
      </c>
      <c r="G54" t="s">
        <v>19</v>
      </c>
      <c r="H54">
        <v>22.39</v>
      </c>
      <c r="I54">
        <v>109</v>
      </c>
      <c r="J54">
        <v>2440.5100000000002</v>
      </c>
    </row>
    <row r="55" spans="1:10" x14ac:dyDescent="0.25">
      <c r="A55">
        <v>54</v>
      </c>
      <c r="B55" s="1">
        <v>45748</v>
      </c>
      <c r="C55" t="s">
        <v>23</v>
      </c>
      <c r="D55" t="s">
        <v>33</v>
      </c>
      <c r="E55" t="s">
        <v>35</v>
      </c>
      <c r="F55" t="s">
        <v>36</v>
      </c>
      <c r="G55" t="s">
        <v>14</v>
      </c>
      <c r="H55">
        <v>22.33</v>
      </c>
      <c r="I55">
        <v>11</v>
      </c>
      <c r="J55">
        <v>245.63</v>
      </c>
    </row>
    <row r="56" spans="1:10" x14ac:dyDescent="0.25">
      <c r="A56">
        <v>55</v>
      </c>
      <c r="B56" s="1">
        <v>45785</v>
      </c>
      <c r="C56" t="s">
        <v>15</v>
      </c>
      <c r="D56" t="s">
        <v>24</v>
      </c>
      <c r="E56" t="s">
        <v>39</v>
      </c>
      <c r="F56" t="s">
        <v>36</v>
      </c>
      <c r="G56" t="s">
        <v>19</v>
      </c>
      <c r="H56">
        <v>8.5</v>
      </c>
      <c r="I56">
        <v>184</v>
      </c>
      <c r="J56">
        <v>1564</v>
      </c>
    </row>
    <row r="57" spans="1:10" x14ac:dyDescent="0.25">
      <c r="A57">
        <v>56</v>
      </c>
      <c r="B57" s="1">
        <v>45760</v>
      </c>
      <c r="C57" t="s">
        <v>10</v>
      </c>
      <c r="D57" t="s">
        <v>28</v>
      </c>
      <c r="E57" t="s">
        <v>12</v>
      </c>
      <c r="F57" t="s">
        <v>13</v>
      </c>
      <c r="G57" t="s">
        <v>19</v>
      </c>
      <c r="H57">
        <v>20.87</v>
      </c>
      <c r="I57">
        <v>122</v>
      </c>
      <c r="J57">
        <v>2546.14</v>
      </c>
    </row>
    <row r="58" spans="1:10" x14ac:dyDescent="0.25">
      <c r="A58">
        <v>57</v>
      </c>
      <c r="B58" s="1">
        <v>45995</v>
      </c>
      <c r="C58" t="s">
        <v>10</v>
      </c>
      <c r="D58" t="s">
        <v>21</v>
      </c>
      <c r="E58" t="s">
        <v>29</v>
      </c>
      <c r="F58" t="s">
        <v>26</v>
      </c>
      <c r="G58" t="s">
        <v>14</v>
      </c>
      <c r="H58">
        <v>6.85</v>
      </c>
      <c r="I58">
        <v>89</v>
      </c>
      <c r="J58">
        <v>609.65</v>
      </c>
    </row>
    <row r="59" spans="1:10" x14ac:dyDescent="0.25">
      <c r="A59">
        <v>58</v>
      </c>
      <c r="B59" s="1">
        <v>45918</v>
      </c>
      <c r="C59" t="s">
        <v>10</v>
      </c>
      <c r="D59" t="s">
        <v>21</v>
      </c>
      <c r="E59" t="s">
        <v>34</v>
      </c>
      <c r="F59" t="s">
        <v>26</v>
      </c>
      <c r="G59" t="s">
        <v>19</v>
      </c>
      <c r="H59">
        <v>11.49</v>
      </c>
      <c r="I59">
        <v>142</v>
      </c>
      <c r="J59">
        <v>1631.58</v>
      </c>
    </row>
    <row r="60" spans="1:10" x14ac:dyDescent="0.25">
      <c r="A60">
        <v>59</v>
      </c>
      <c r="B60" s="1">
        <v>45955</v>
      </c>
      <c r="C60" t="s">
        <v>15</v>
      </c>
      <c r="D60" t="s">
        <v>21</v>
      </c>
      <c r="E60" t="s">
        <v>25</v>
      </c>
      <c r="F60" t="s">
        <v>36</v>
      </c>
      <c r="G60" t="s">
        <v>32</v>
      </c>
      <c r="H60">
        <v>24.16</v>
      </c>
      <c r="I60">
        <v>72</v>
      </c>
      <c r="J60">
        <v>1739.52</v>
      </c>
    </row>
    <row r="61" spans="1:10" x14ac:dyDescent="0.25">
      <c r="A61">
        <v>60</v>
      </c>
      <c r="B61" s="1">
        <v>45818</v>
      </c>
      <c r="C61" t="s">
        <v>15</v>
      </c>
      <c r="D61" t="s">
        <v>24</v>
      </c>
      <c r="E61" t="s">
        <v>25</v>
      </c>
      <c r="F61" t="s">
        <v>13</v>
      </c>
      <c r="G61" t="s">
        <v>32</v>
      </c>
      <c r="H61">
        <v>12.32</v>
      </c>
      <c r="I61">
        <v>135</v>
      </c>
      <c r="J61">
        <v>1663.2</v>
      </c>
    </row>
    <row r="62" spans="1:10" x14ac:dyDescent="0.25">
      <c r="A62">
        <v>61</v>
      </c>
      <c r="B62" s="1">
        <v>45680</v>
      </c>
      <c r="C62" t="s">
        <v>20</v>
      </c>
      <c r="D62" t="s">
        <v>16</v>
      </c>
      <c r="E62" t="s">
        <v>12</v>
      </c>
      <c r="F62" t="s">
        <v>26</v>
      </c>
      <c r="G62" t="s">
        <v>32</v>
      </c>
      <c r="H62">
        <v>18.45</v>
      </c>
      <c r="I62">
        <v>5</v>
      </c>
      <c r="J62">
        <v>92.25</v>
      </c>
    </row>
    <row r="63" spans="1:10" x14ac:dyDescent="0.25">
      <c r="A63">
        <v>62</v>
      </c>
      <c r="B63" s="1">
        <v>45693</v>
      </c>
      <c r="C63" t="s">
        <v>20</v>
      </c>
      <c r="D63" t="s">
        <v>28</v>
      </c>
      <c r="E63" t="s">
        <v>34</v>
      </c>
      <c r="F63" t="s">
        <v>26</v>
      </c>
      <c r="G63" t="s">
        <v>14</v>
      </c>
      <c r="H63">
        <v>23.85</v>
      </c>
      <c r="I63">
        <v>89</v>
      </c>
      <c r="J63">
        <v>2122.65</v>
      </c>
    </row>
    <row r="64" spans="1:10" x14ac:dyDescent="0.25">
      <c r="A64">
        <v>63</v>
      </c>
      <c r="B64" s="1">
        <v>45816</v>
      </c>
      <c r="C64" t="s">
        <v>37</v>
      </c>
      <c r="D64" t="s">
        <v>33</v>
      </c>
      <c r="E64" t="s">
        <v>29</v>
      </c>
      <c r="F64" t="s">
        <v>13</v>
      </c>
      <c r="G64" t="s">
        <v>19</v>
      </c>
      <c r="H64">
        <v>17.510000000000002</v>
      </c>
      <c r="I64">
        <v>88</v>
      </c>
      <c r="J64">
        <v>1540.88</v>
      </c>
    </row>
    <row r="65" spans="1:10" x14ac:dyDescent="0.25">
      <c r="A65">
        <v>64</v>
      </c>
      <c r="B65" s="1">
        <v>45873</v>
      </c>
      <c r="C65" t="s">
        <v>30</v>
      </c>
      <c r="D65" t="s">
        <v>33</v>
      </c>
      <c r="E65" t="s">
        <v>31</v>
      </c>
      <c r="F65" t="s">
        <v>26</v>
      </c>
      <c r="G65" t="s">
        <v>32</v>
      </c>
      <c r="H65">
        <v>17.46</v>
      </c>
      <c r="I65">
        <v>102</v>
      </c>
      <c r="J65">
        <v>1780.92</v>
      </c>
    </row>
    <row r="66" spans="1:10" x14ac:dyDescent="0.25">
      <c r="A66">
        <v>65</v>
      </c>
      <c r="B66" s="1">
        <v>45938</v>
      </c>
      <c r="C66" t="s">
        <v>10</v>
      </c>
      <c r="D66" t="s">
        <v>11</v>
      </c>
      <c r="E66" t="s">
        <v>17</v>
      </c>
      <c r="F66" t="s">
        <v>26</v>
      </c>
      <c r="G66" t="s">
        <v>32</v>
      </c>
      <c r="H66">
        <v>21.26</v>
      </c>
      <c r="I66">
        <v>82</v>
      </c>
      <c r="J66">
        <v>1743.32</v>
      </c>
    </row>
    <row r="67" spans="1:10" x14ac:dyDescent="0.25">
      <c r="A67">
        <v>66</v>
      </c>
      <c r="B67" s="1">
        <v>45884</v>
      </c>
      <c r="C67" t="s">
        <v>20</v>
      </c>
      <c r="D67" t="s">
        <v>24</v>
      </c>
      <c r="E67" t="s">
        <v>31</v>
      </c>
      <c r="F67" t="s">
        <v>18</v>
      </c>
      <c r="G67" t="s">
        <v>32</v>
      </c>
      <c r="H67">
        <v>12.45</v>
      </c>
      <c r="I67">
        <v>59</v>
      </c>
      <c r="J67">
        <v>734.55</v>
      </c>
    </row>
    <row r="68" spans="1:10" x14ac:dyDescent="0.25">
      <c r="A68">
        <v>67</v>
      </c>
      <c r="B68" s="1">
        <v>45921</v>
      </c>
      <c r="C68" t="s">
        <v>10</v>
      </c>
      <c r="D68" t="s">
        <v>21</v>
      </c>
      <c r="E68" t="s">
        <v>12</v>
      </c>
      <c r="F68" t="s">
        <v>26</v>
      </c>
      <c r="G68" t="s">
        <v>19</v>
      </c>
      <c r="H68">
        <v>17.440000000000001</v>
      </c>
      <c r="I68">
        <v>163</v>
      </c>
      <c r="J68">
        <v>2842.72</v>
      </c>
    </row>
    <row r="69" spans="1:10" x14ac:dyDescent="0.25">
      <c r="A69">
        <v>68</v>
      </c>
      <c r="B69" s="1">
        <v>45759</v>
      </c>
      <c r="C69" t="s">
        <v>23</v>
      </c>
      <c r="D69" t="s">
        <v>24</v>
      </c>
      <c r="E69" t="s">
        <v>25</v>
      </c>
      <c r="F69" t="s">
        <v>18</v>
      </c>
      <c r="G69" t="s">
        <v>32</v>
      </c>
      <c r="H69">
        <v>5.82</v>
      </c>
      <c r="I69">
        <v>16</v>
      </c>
      <c r="J69">
        <v>93.12</v>
      </c>
    </row>
    <row r="70" spans="1:10" x14ac:dyDescent="0.25">
      <c r="A70">
        <v>69</v>
      </c>
      <c r="B70" s="1">
        <v>45870</v>
      </c>
      <c r="C70" t="s">
        <v>23</v>
      </c>
      <c r="D70" t="s">
        <v>33</v>
      </c>
      <c r="E70" t="s">
        <v>17</v>
      </c>
      <c r="F70" t="s">
        <v>36</v>
      </c>
      <c r="G70" t="s">
        <v>32</v>
      </c>
      <c r="H70">
        <v>22.44</v>
      </c>
      <c r="I70">
        <v>152</v>
      </c>
      <c r="J70">
        <v>3410.88</v>
      </c>
    </row>
    <row r="71" spans="1:10" x14ac:dyDescent="0.25">
      <c r="A71">
        <v>70</v>
      </c>
      <c r="B71" s="1">
        <v>45782</v>
      </c>
      <c r="C71" t="s">
        <v>15</v>
      </c>
      <c r="D71" t="s">
        <v>21</v>
      </c>
      <c r="E71" t="s">
        <v>17</v>
      </c>
      <c r="F71" t="s">
        <v>13</v>
      </c>
      <c r="G71" t="s">
        <v>19</v>
      </c>
      <c r="H71">
        <v>5.82</v>
      </c>
      <c r="I71">
        <v>181</v>
      </c>
      <c r="J71">
        <v>1053.42</v>
      </c>
    </row>
    <row r="72" spans="1:10" x14ac:dyDescent="0.25">
      <c r="A72">
        <v>71</v>
      </c>
      <c r="B72" s="1">
        <v>46014</v>
      </c>
      <c r="C72" t="s">
        <v>20</v>
      </c>
      <c r="D72" t="s">
        <v>11</v>
      </c>
      <c r="E72" t="s">
        <v>34</v>
      </c>
      <c r="F72" t="s">
        <v>36</v>
      </c>
      <c r="G72" t="s">
        <v>19</v>
      </c>
      <c r="H72">
        <v>14.15</v>
      </c>
      <c r="I72">
        <v>17</v>
      </c>
      <c r="J72">
        <v>240.55</v>
      </c>
    </row>
    <row r="73" spans="1:10" x14ac:dyDescent="0.25">
      <c r="A73">
        <v>72</v>
      </c>
      <c r="B73" s="1">
        <v>45895</v>
      </c>
      <c r="C73" t="s">
        <v>20</v>
      </c>
      <c r="D73" t="s">
        <v>28</v>
      </c>
      <c r="E73" t="s">
        <v>38</v>
      </c>
      <c r="F73" t="s">
        <v>36</v>
      </c>
      <c r="G73" t="s">
        <v>14</v>
      </c>
      <c r="H73">
        <v>17.52</v>
      </c>
      <c r="I73">
        <v>148</v>
      </c>
      <c r="J73">
        <v>2592.96</v>
      </c>
    </row>
    <row r="74" spans="1:10" x14ac:dyDescent="0.25">
      <c r="A74">
        <v>73</v>
      </c>
      <c r="B74" s="1">
        <v>45886</v>
      </c>
      <c r="C74" t="s">
        <v>27</v>
      </c>
      <c r="D74" t="s">
        <v>24</v>
      </c>
      <c r="E74" t="s">
        <v>38</v>
      </c>
      <c r="F74" t="s">
        <v>26</v>
      </c>
      <c r="G74" t="s">
        <v>19</v>
      </c>
      <c r="H74">
        <v>22.69</v>
      </c>
      <c r="I74">
        <v>195</v>
      </c>
      <c r="J74">
        <v>4424.55</v>
      </c>
    </row>
    <row r="75" spans="1:10" x14ac:dyDescent="0.25">
      <c r="A75">
        <v>74</v>
      </c>
      <c r="B75" s="1">
        <v>45984</v>
      </c>
      <c r="C75" t="s">
        <v>37</v>
      </c>
      <c r="D75" t="s">
        <v>33</v>
      </c>
      <c r="E75" t="s">
        <v>12</v>
      </c>
      <c r="F75" t="s">
        <v>26</v>
      </c>
      <c r="G75" t="s">
        <v>32</v>
      </c>
      <c r="H75">
        <v>8.74</v>
      </c>
      <c r="I75">
        <v>138</v>
      </c>
      <c r="J75">
        <v>1206.1199999999999</v>
      </c>
    </row>
    <row r="76" spans="1:10" x14ac:dyDescent="0.25">
      <c r="A76">
        <v>75</v>
      </c>
      <c r="B76" s="1">
        <v>45697</v>
      </c>
      <c r="C76" t="s">
        <v>10</v>
      </c>
      <c r="D76" t="s">
        <v>28</v>
      </c>
      <c r="E76" t="s">
        <v>35</v>
      </c>
      <c r="F76" t="s">
        <v>18</v>
      </c>
      <c r="G76" t="s">
        <v>19</v>
      </c>
      <c r="H76">
        <v>18.55</v>
      </c>
      <c r="I76">
        <v>65</v>
      </c>
      <c r="J76">
        <v>1205.75</v>
      </c>
    </row>
    <row r="77" spans="1:10" x14ac:dyDescent="0.25">
      <c r="A77">
        <v>76</v>
      </c>
      <c r="B77" s="1">
        <v>45735</v>
      </c>
      <c r="C77" t="s">
        <v>23</v>
      </c>
      <c r="D77" t="s">
        <v>33</v>
      </c>
      <c r="E77" t="s">
        <v>12</v>
      </c>
      <c r="F77" t="s">
        <v>18</v>
      </c>
      <c r="G77" t="s">
        <v>32</v>
      </c>
      <c r="H77">
        <v>7.7</v>
      </c>
      <c r="I77">
        <v>182</v>
      </c>
      <c r="J77">
        <v>1401.4</v>
      </c>
    </row>
    <row r="78" spans="1:10" x14ac:dyDescent="0.25">
      <c r="A78">
        <v>77</v>
      </c>
      <c r="B78" s="1">
        <v>45866</v>
      </c>
      <c r="C78" t="s">
        <v>37</v>
      </c>
      <c r="D78" t="s">
        <v>21</v>
      </c>
      <c r="E78" t="s">
        <v>12</v>
      </c>
      <c r="F78" t="s">
        <v>36</v>
      </c>
      <c r="G78" t="s">
        <v>32</v>
      </c>
      <c r="H78">
        <v>9.94</v>
      </c>
      <c r="I78">
        <v>124</v>
      </c>
      <c r="J78">
        <v>1232.56</v>
      </c>
    </row>
    <row r="79" spans="1:10" x14ac:dyDescent="0.25">
      <c r="A79">
        <v>78</v>
      </c>
      <c r="B79" s="1">
        <v>45957</v>
      </c>
      <c r="C79" t="s">
        <v>27</v>
      </c>
      <c r="D79" t="s">
        <v>16</v>
      </c>
      <c r="E79" t="s">
        <v>17</v>
      </c>
      <c r="F79" t="s">
        <v>36</v>
      </c>
      <c r="G79" t="s">
        <v>19</v>
      </c>
      <c r="H79">
        <v>23.79</v>
      </c>
      <c r="I79">
        <v>10</v>
      </c>
      <c r="J79">
        <v>237.9</v>
      </c>
    </row>
    <row r="80" spans="1:10" x14ac:dyDescent="0.25">
      <c r="A80">
        <v>79</v>
      </c>
      <c r="B80" s="1">
        <v>45838</v>
      </c>
      <c r="C80" t="s">
        <v>27</v>
      </c>
      <c r="D80" t="s">
        <v>24</v>
      </c>
      <c r="E80" t="s">
        <v>22</v>
      </c>
      <c r="F80" t="s">
        <v>13</v>
      </c>
      <c r="G80" t="s">
        <v>32</v>
      </c>
      <c r="H80">
        <v>9.2200000000000006</v>
      </c>
      <c r="I80">
        <v>104</v>
      </c>
      <c r="J80">
        <v>958.88</v>
      </c>
    </row>
    <row r="81" spans="1:10" x14ac:dyDescent="0.25">
      <c r="A81">
        <v>80</v>
      </c>
      <c r="B81" s="1">
        <v>45770</v>
      </c>
      <c r="C81" t="s">
        <v>15</v>
      </c>
      <c r="D81" t="s">
        <v>24</v>
      </c>
      <c r="E81" t="s">
        <v>35</v>
      </c>
      <c r="F81" t="s">
        <v>36</v>
      </c>
      <c r="G81" t="s">
        <v>14</v>
      </c>
      <c r="H81">
        <v>8.64</v>
      </c>
      <c r="I81">
        <v>129</v>
      </c>
      <c r="J81">
        <v>1114.56</v>
      </c>
    </row>
    <row r="82" spans="1:10" x14ac:dyDescent="0.25">
      <c r="A82">
        <v>81</v>
      </c>
      <c r="B82" s="1">
        <v>45742</v>
      </c>
      <c r="C82" t="s">
        <v>20</v>
      </c>
      <c r="D82" t="s">
        <v>16</v>
      </c>
      <c r="E82" t="s">
        <v>39</v>
      </c>
      <c r="F82" t="s">
        <v>36</v>
      </c>
      <c r="G82" t="s">
        <v>14</v>
      </c>
      <c r="H82">
        <v>21.41</v>
      </c>
      <c r="I82">
        <v>37</v>
      </c>
      <c r="J82">
        <v>792.17</v>
      </c>
    </row>
    <row r="83" spans="1:10" x14ac:dyDescent="0.25">
      <c r="A83">
        <v>82</v>
      </c>
      <c r="B83" s="1">
        <v>45946</v>
      </c>
      <c r="C83" t="s">
        <v>30</v>
      </c>
      <c r="D83" t="s">
        <v>24</v>
      </c>
      <c r="E83" t="s">
        <v>31</v>
      </c>
      <c r="F83" t="s">
        <v>36</v>
      </c>
      <c r="G83" t="s">
        <v>19</v>
      </c>
      <c r="H83">
        <v>17.420000000000002</v>
      </c>
      <c r="I83">
        <v>26</v>
      </c>
      <c r="J83">
        <v>452.92</v>
      </c>
    </row>
    <row r="84" spans="1:10" x14ac:dyDescent="0.25">
      <c r="A84">
        <v>83</v>
      </c>
      <c r="B84" s="1">
        <v>45683</v>
      </c>
      <c r="C84" t="s">
        <v>23</v>
      </c>
      <c r="D84" t="s">
        <v>24</v>
      </c>
      <c r="E84" t="s">
        <v>35</v>
      </c>
      <c r="F84" t="s">
        <v>26</v>
      </c>
      <c r="G84" t="s">
        <v>32</v>
      </c>
      <c r="H84">
        <v>8.35</v>
      </c>
      <c r="I84">
        <v>88</v>
      </c>
      <c r="J84">
        <v>734.8</v>
      </c>
    </row>
    <row r="85" spans="1:10" x14ac:dyDescent="0.25">
      <c r="A85">
        <v>84</v>
      </c>
      <c r="B85" s="1">
        <v>45800</v>
      </c>
      <c r="C85" t="s">
        <v>10</v>
      </c>
      <c r="D85" t="s">
        <v>21</v>
      </c>
      <c r="E85" t="s">
        <v>38</v>
      </c>
      <c r="F85" t="s">
        <v>18</v>
      </c>
      <c r="G85" t="s">
        <v>14</v>
      </c>
      <c r="H85">
        <v>19.420000000000002</v>
      </c>
      <c r="I85">
        <v>112</v>
      </c>
      <c r="J85">
        <v>2175.04</v>
      </c>
    </row>
    <row r="86" spans="1:10" x14ac:dyDescent="0.25">
      <c r="A86">
        <v>85</v>
      </c>
      <c r="B86" s="1">
        <v>45934</v>
      </c>
      <c r="C86" t="s">
        <v>23</v>
      </c>
      <c r="D86" t="s">
        <v>33</v>
      </c>
      <c r="E86" t="s">
        <v>34</v>
      </c>
      <c r="F86" t="s">
        <v>18</v>
      </c>
      <c r="G86" t="s">
        <v>19</v>
      </c>
      <c r="H86">
        <v>3.67</v>
      </c>
      <c r="I86">
        <v>94</v>
      </c>
      <c r="J86">
        <v>344.98</v>
      </c>
    </row>
    <row r="87" spans="1:10" x14ac:dyDescent="0.25">
      <c r="A87">
        <v>86</v>
      </c>
      <c r="B87" s="1">
        <v>45784</v>
      </c>
      <c r="C87" t="s">
        <v>20</v>
      </c>
      <c r="D87" t="s">
        <v>11</v>
      </c>
      <c r="E87" t="s">
        <v>12</v>
      </c>
      <c r="F87" t="s">
        <v>13</v>
      </c>
      <c r="G87" t="s">
        <v>32</v>
      </c>
      <c r="H87">
        <v>6.99</v>
      </c>
      <c r="I87">
        <v>10</v>
      </c>
      <c r="J87">
        <v>69.900000000000006</v>
      </c>
    </row>
    <row r="88" spans="1:10" x14ac:dyDescent="0.25">
      <c r="A88">
        <v>87</v>
      </c>
      <c r="B88" s="1">
        <v>46000</v>
      </c>
      <c r="C88" t="s">
        <v>37</v>
      </c>
      <c r="D88" t="s">
        <v>33</v>
      </c>
      <c r="E88" t="s">
        <v>29</v>
      </c>
      <c r="F88" t="s">
        <v>26</v>
      </c>
      <c r="G88" t="s">
        <v>19</v>
      </c>
      <c r="H88">
        <v>5.07</v>
      </c>
      <c r="I88">
        <v>60</v>
      </c>
      <c r="J88">
        <v>304.2</v>
      </c>
    </row>
    <row r="89" spans="1:10" x14ac:dyDescent="0.25">
      <c r="A89">
        <v>88</v>
      </c>
      <c r="B89" s="1">
        <v>45968</v>
      </c>
      <c r="C89" t="s">
        <v>30</v>
      </c>
      <c r="D89" t="s">
        <v>21</v>
      </c>
      <c r="E89" t="s">
        <v>31</v>
      </c>
      <c r="F89" t="s">
        <v>26</v>
      </c>
      <c r="G89" t="s">
        <v>19</v>
      </c>
      <c r="H89">
        <v>16.16</v>
      </c>
      <c r="I89">
        <v>196</v>
      </c>
      <c r="J89">
        <v>3167.36</v>
      </c>
    </row>
    <row r="90" spans="1:10" x14ac:dyDescent="0.25">
      <c r="A90">
        <v>89</v>
      </c>
      <c r="B90" s="1">
        <v>45954</v>
      </c>
      <c r="C90" t="s">
        <v>20</v>
      </c>
      <c r="D90" t="s">
        <v>33</v>
      </c>
      <c r="E90" t="s">
        <v>17</v>
      </c>
      <c r="F90" t="s">
        <v>36</v>
      </c>
      <c r="G90" t="s">
        <v>14</v>
      </c>
      <c r="H90">
        <v>3.08</v>
      </c>
      <c r="I90">
        <v>84</v>
      </c>
      <c r="J90">
        <v>258.72000000000003</v>
      </c>
    </row>
    <row r="91" spans="1:10" x14ac:dyDescent="0.25">
      <c r="A91">
        <v>90</v>
      </c>
      <c r="B91" s="1">
        <v>45759</v>
      </c>
      <c r="C91" t="s">
        <v>27</v>
      </c>
      <c r="D91" t="s">
        <v>33</v>
      </c>
      <c r="E91" t="s">
        <v>12</v>
      </c>
      <c r="F91" t="s">
        <v>18</v>
      </c>
      <c r="G91" t="s">
        <v>14</v>
      </c>
      <c r="H91">
        <v>4.21</v>
      </c>
      <c r="I91">
        <v>181</v>
      </c>
      <c r="J91">
        <v>762.01</v>
      </c>
    </row>
    <row r="92" spans="1:10" x14ac:dyDescent="0.25">
      <c r="A92">
        <v>91</v>
      </c>
      <c r="B92" s="1">
        <v>45812</v>
      </c>
      <c r="C92" t="s">
        <v>27</v>
      </c>
      <c r="D92" t="s">
        <v>21</v>
      </c>
      <c r="E92" t="s">
        <v>25</v>
      </c>
      <c r="F92" t="s">
        <v>18</v>
      </c>
      <c r="G92" t="s">
        <v>32</v>
      </c>
      <c r="H92">
        <v>21.63</v>
      </c>
      <c r="I92">
        <v>158</v>
      </c>
      <c r="J92">
        <v>3417.54</v>
      </c>
    </row>
    <row r="93" spans="1:10" x14ac:dyDescent="0.25">
      <c r="A93">
        <v>92</v>
      </c>
      <c r="B93" s="1">
        <v>45930</v>
      </c>
      <c r="C93" t="s">
        <v>15</v>
      </c>
      <c r="D93" t="s">
        <v>16</v>
      </c>
      <c r="E93" t="s">
        <v>35</v>
      </c>
      <c r="F93" t="s">
        <v>18</v>
      </c>
      <c r="G93" t="s">
        <v>32</v>
      </c>
      <c r="H93">
        <v>12.14</v>
      </c>
      <c r="I93">
        <v>99</v>
      </c>
      <c r="J93">
        <v>1201.8599999999999</v>
      </c>
    </row>
    <row r="94" spans="1:10" x14ac:dyDescent="0.25">
      <c r="A94">
        <v>93</v>
      </c>
      <c r="B94" s="1">
        <v>45908</v>
      </c>
      <c r="C94" t="s">
        <v>30</v>
      </c>
      <c r="D94" t="s">
        <v>24</v>
      </c>
      <c r="E94" t="s">
        <v>31</v>
      </c>
      <c r="F94" t="s">
        <v>36</v>
      </c>
      <c r="G94" t="s">
        <v>19</v>
      </c>
      <c r="H94">
        <v>4.87</v>
      </c>
      <c r="I94">
        <v>97</v>
      </c>
      <c r="J94">
        <v>472.39</v>
      </c>
    </row>
    <row r="95" spans="1:10" x14ac:dyDescent="0.25">
      <c r="A95">
        <v>94</v>
      </c>
      <c r="B95" s="1">
        <v>45925</v>
      </c>
      <c r="C95" t="s">
        <v>20</v>
      </c>
      <c r="D95" t="s">
        <v>16</v>
      </c>
      <c r="E95" t="s">
        <v>38</v>
      </c>
      <c r="F95" t="s">
        <v>36</v>
      </c>
      <c r="G95" t="s">
        <v>32</v>
      </c>
      <c r="H95">
        <v>24.22</v>
      </c>
      <c r="I95">
        <v>74</v>
      </c>
      <c r="J95">
        <v>1792.28</v>
      </c>
    </row>
    <row r="96" spans="1:10" x14ac:dyDescent="0.25">
      <c r="A96">
        <v>95</v>
      </c>
      <c r="B96" s="1">
        <v>45961</v>
      </c>
      <c r="C96" t="s">
        <v>27</v>
      </c>
      <c r="D96" t="s">
        <v>21</v>
      </c>
      <c r="E96" t="s">
        <v>29</v>
      </c>
      <c r="F96" t="s">
        <v>36</v>
      </c>
      <c r="G96" t="s">
        <v>19</v>
      </c>
      <c r="H96">
        <v>8.5399999999999991</v>
      </c>
      <c r="I96">
        <v>67</v>
      </c>
      <c r="J96">
        <v>572.17999999999995</v>
      </c>
    </row>
    <row r="97" spans="1:10" x14ac:dyDescent="0.25">
      <c r="A97">
        <v>96</v>
      </c>
      <c r="B97" s="1">
        <v>45895</v>
      </c>
      <c r="C97" t="s">
        <v>37</v>
      </c>
      <c r="D97" t="s">
        <v>28</v>
      </c>
      <c r="E97" t="s">
        <v>39</v>
      </c>
      <c r="F97" t="s">
        <v>36</v>
      </c>
      <c r="G97" t="s">
        <v>32</v>
      </c>
      <c r="H97">
        <v>15.32</v>
      </c>
      <c r="I97">
        <v>176</v>
      </c>
      <c r="J97">
        <v>2696.32</v>
      </c>
    </row>
    <row r="98" spans="1:10" x14ac:dyDescent="0.25">
      <c r="A98">
        <v>97</v>
      </c>
      <c r="B98" s="1">
        <v>45751</v>
      </c>
      <c r="C98" t="s">
        <v>27</v>
      </c>
      <c r="D98" t="s">
        <v>28</v>
      </c>
      <c r="E98" t="s">
        <v>35</v>
      </c>
      <c r="F98" t="s">
        <v>26</v>
      </c>
      <c r="G98" t="s">
        <v>14</v>
      </c>
      <c r="H98">
        <v>13.47</v>
      </c>
      <c r="I98">
        <v>95</v>
      </c>
      <c r="J98">
        <v>1279.6500000000001</v>
      </c>
    </row>
    <row r="99" spans="1:10" x14ac:dyDescent="0.25">
      <c r="A99">
        <v>98</v>
      </c>
      <c r="B99" s="1">
        <v>46017</v>
      </c>
      <c r="C99" t="s">
        <v>15</v>
      </c>
      <c r="D99" t="s">
        <v>16</v>
      </c>
      <c r="E99" t="s">
        <v>12</v>
      </c>
      <c r="F99" t="s">
        <v>18</v>
      </c>
      <c r="G99" t="s">
        <v>19</v>
      </c>
      <c r="H99">
        <v>22.3</v>
      </c>
      <c r="I99">
        <v>147</v>
      </c>
      <c r="J99">
        <v>3278.1</v>
      </c>
    </row>
    <row r="100" spans="1:10" x14ac:dyDescent="0.25">
      <c r="A100">
        <v>99</v>
      </c>
      <c r="B100" s="1">
        <v>45866</v>
      </c>
      <c r="C100" t="s">
        <v>23</v>
      </c>
      <c r="D100" t="s">
        <v>33</v>
      </c>
      <c r="E100" t="s">
        <v>38</v>
      </c>
      <c r="F100" t="s">
        <v>36</v>
      </c>
      <c r="G100" t="s">
        <v>32</v>
      </c>
      <c r="H100">
        <v>13.49</v>
      </c>
      <c r="I100">
        <v>199</v>
      </c>
      <c r="J100">
        <v>2684.51</v>
      </c>
    </row>
    <row r="101" spans="1:10" x14ac:dyDescent="0.25">
      <c r="A101">
        <v>100</v>
      </c>
      <c r="B101" s="1">
        <v>45666</v>
      </c>
      <c r="C101" t="s">
        <v>37</v>
      </c>
      <c r="D101" t="s">
        <v>33</v>
      </c>
      <c r="E101" t="s">
        <v>12</v>
      </c>
      <c r="F101" t="s">
        <v>26</v>
      </c>
      <c r="G101" t="s">
        <v>14</v>
      </c>
      <c r="H101">
        <v>4.59</v>
      </c>
      <c r="I101">
        <v>61</v>
      </c>
      <c r="J101">
        <v>279.99</v>
      </c>
    </row>
    <row r="102" spans="1:10" x14ac:dyDescent="0.25">
      <c r="A102">
        <v>101</v>
      </c>
      <c r="B102" s="1">
        <v>45955</v>
      </c>
      <c r="C102" t="s">
        <v>20</v>
      </c>
      <c r="D102" t="s">
        <v>28</v>
      </c>
      <c r="E102" t="s">
        <v>17</v>
      </c>
      <c r="F102" t="s">
        <v>26</v>
      </c>
      <c r="G102" t="s">
        <v>32</v>
      </c>
      <c r="H102">
        <v>10.8</v>
      </c>
      <c r="I102">
        <v>146</v>
      </c>
      <c r="J102">
        <v>1576.8</v>
      </c>
    </row>
    <row r="103" spans="1:10" x14ac:dyDescent="0.25">
      <c r="A103">
        <v>102</v>
      </c>
      <c r="B103" s="1">
        <v>46017</v>
      </c>
      <c r="C103" t="s">
        <v>10</v>
      </c>
      <c r="D103" t="s">
        <v>11</v>
      </c>
      <c r="E103" t="s">
        <v>34</v>
      </c>
      <c r="F103" t="s">
        <v>13</v>
      </c>
      <c r="G103" t="s">
        <v>32</v>
      </c>
      <c r="H103">
        <v>12.71</v>
      </c>
      <c r="I103">
        <v>83</v>
      </c>
      <c r="J103">
        <v>1054.93</v>
      </c>
    </row>
    <row r="104" spans="1:10" x14ac:dyDescent="0.25">
      <c r="A104">
        <v>103</v>
      </c>
      <c r="B104" s="1">
        <v>45719</v>
      </c>
      <c r="C104" t="s">
        <v>30</v>
      </c>
      <c r="D104" t="s">
        <v>11</v>
      </c>
      <c r="E104" t="s">
        <v>12</v>
      </c>
      <c r="F104" t="s">
        <v>13</v>
      </c>
      <c r="G104" t="s">
        <v>14</v>
      </c>
      <c r="H104">
        <v>19.21</v>
      </c>
      <c r="I104">
        <v>200</v>
      </c>
      <c r="J104">
        <v>3842</v>
      </c>
    </row>
    <row r="105" spans="1:10" x14ac:dyDescent="0.25">
      <c r="A105">
        <v>104</v>
      </c>
      <c r="B105" s="1">
        <v>45905</v>
      </c>
      <c r="C105" t="s">
        <v>27</v>
      </c>
      <c r="D105" t="s">
        <v>16</v>
      </c>
      <c r="E105" t="s">
        <v>25</v>
      </c>
      <c r="F105" t="s">
        <v>26</v>
      </c>
      <c r="G105" t="s">
        <v>19</v>
      </c>
      <c r="H105">
        <v>8.7200000000000006</v>
      </c>
      <c r="I105">
        <v>155</v>
      </c>
      <c r="J105">
        <v>1351.6</v>
      </c>
    </row>
    <row r="106" spans="1:10" x14ac:dyDescent="0.25">
      <c r="A106">
        <v>105</v>
      </c>
      <c r="B106" s="1">
        <v>45757</v>
      </c>
      <c r="C106" t="s">
        <v>23</v>
      </c>
      <c r="D106" t="s">
        <v>28</v>
      </c>
      <c r="E106" t="s">
        <v>39</v>
      </c>
      <c r="F106" t="s">
        <v>13</v>
      </c>
      <c r="G106" t="s">
        <v>32</v>
      </c>
      <c r="H106">
        <v>9.17</v>
      </c>
      <c r="I106">
        <v>97</v>
      </c>
      <c r="J106">
        <v>889.49</v>
      </c>
    </row>
    <row r="107" spans="1:10" x14ac:dyDescent="0.25">
      <c r="A107">
        <v>106</v>
      </c>
      <c r="B107" s="1">
        <v>45681</v>
      </c>
      <c r="C107" t="s">
        <v>10</v>
      </c>
      <c r="D107" t="s">
        <v>33</v>
      </c>
      <c r="E107" t="s">
        <v>31</v>
      </c>
      <c r="F107" t="s">
        <v>36</v>
      </c>
      <c r="G107" t="s">
        <v>19</v>
      </c>
      <c r="H107">
        <v>24.42</v>
      </c>
      <c r="I107">
        <v>146</v>
      </c>
      <c r="J107">
        <v>3565.32</v>
      </c>
    </row>
    <row r="108" spans="1:10" x14ac:dyDescent="0.25">
      <c r="A108">
        <v>107</v>
      </c>
      <c r="B108" s="1">
        <v>45664</v>
      </c>
      <c r="C108" t="s">
        <v>37</v>
      </c>
      <c r="D108" t="s">
        <v>24</v>
      </c>
      <c r="E108" t="s">
        <v>35</v>
      </c>
      <c r="F108" t="s">
        <v>13</v>
      </c>
      <c r="G108" t="s">
        <v>19</v>
      </c>
      <c r="H108">
        <v>15.42</v>
      </c>
      <c r="I108">
        <v>125</v>
      </c>
      <c r="J108">
        <v>1927.5</v>
      </c>
    </row>
    <row r="109" spans="1:10" x14ac:dyDescent="0.25">
      <c r="A109">
        <v>108</v>
      </c>
      <c r="B109" s="1">
        <v>45787</v>
      </c>
      <c r="C109" t="s">
        <v>15</v>
      </c>
      <c r="D109" t="s">
        <v>21</v>
      </c>
      <c r="E109" t="s">
        <v>17</v>
      </c>
      <c r="F109" t="s">
        <v>36</v>
      </c>
      <c r="G109" t="s">
        <v>19</v>
      </c>
      <c r="H109">
        <v>23.67</v>
      </c>
      <c r="I109">
        <v>127</v>
      </c>
      <c r="J109">
        <v>3006.09</v>
      </c>
    </row>
    <row r="110" spans="1:10" x14ac:dyDescent="0.25">
      <c r="A110">
        <v>109</v>
      </c>
      <c r="B110" s="1">
        <v>45953</v>
      </c>
      <c r="C110" t="s">
        <v>23</v>
      </c>
      <c r="D110" t="s">
        <v>11</v>
      </c>
      <c r="E110" t="s">
        <v>25</v>
      </c>
      <c r="F110" t="s">
        <v>26</v>
      </c>
      <c r="G110" t="s">
        <v>19</v>
      </c>
      <c r="H110">
        <v>16.66</v>
      </c>
      <c r="I110">
        <v>18</v>
      </c>
      <c r="J110">
        <v>299.88</v>
      </c>
    </row>
    <row r="111" spans="1:10" x14ac:dyDescent="0.25">
      <c r="A111">
        <v>110</v>
      </c>
      <c r="B111" s="1">
        <v>45785</v>
      </c>
      <c r="C111" t="s">
        <v>37</v>
      </c>
      <c r="D111" t="s">
        <v>16</v>
      </c>
      <c r="E111" t="s">
        <v>25</v>
      </c>
      <c r="F111" t="s">
        <v>13</v>
      </c>
      <c r="G111" t="s">
        <v>14</v>
      </c>
      <c r="H111">
        <v>5.17</v>
      </c>
      <c r="I111">
        <v>200</v>
      </c>
      <c r="J111">
        <v>1034</v>
      </c>
    </row>
    <row r="112" spans="1:10" x14ac:dyDescent="0.25">
      <c r="A112">
        <v>111</v>
      </c>
      <c r="B112" s="1">
        <v>45852</v>
      </c>
      <c r="C112" t="s">
        <v>10</v>
      </c>
      <c r="D112" t="s">
        <v>16</v>
      </c>
      <c r="E112" t="s">
        <v>17</v>
      </c>
      <c r="F112" t="s">
        <v>26</v>
      </c>
      <c r="G112" t="s">
        <v>14</v>
      </c>
      <c r="H112">
        <v>12.64</v>
      </c>
      <c r="I112">
        <v>118</v>
      </c>
      <c r="J112">
        <v>1491.52</v>
      </c>
    </row>
    <row r="113" spans="1:10" x14ac:dyDescent="0.25">
      <c r="A113">
        <v>112</v>
      </c>
      <c r="B113" s="1">
        <v>45975</v>
      </c>
      <c r="C113" t="s">
        <v>15</v>
      </c>
      <c r="D113" t="s">
        <v>11</v>
      </c>
      <c r="E113" t="s">
        <v>12</v>
      </c>
      <c r="F113" t="s">
        <v>26</v>
      </c>
      <c r="G113" t="s">
        <v>14</v>
      </c>
      <c r="H113">
        <v>3.86</v>
      </c>
      <c r="I113">
        <v>194</v>
      </c>
      <c r="J113">
        <v>748.84</v>
      </c>
    </row>
    <row r="114" spans="1:10" x14ac:dyDescent="0.25">
      <c r="A114">
        <v>113</v>
      </c>
      <c r="B114" s="1">
        <v>45699</v>
      </c>
      <c r="C114" t="s">
        <v>20</v>
      </c>
      <c r="D114" t="s">
        <v>21</v>
      </c>
      <c r="E114" t="s">
        <v>31</v>
      </c>
      <c r="F114" t="s">
        <v>18</v>
      </c>
      <c r="G114" t="s">
        <v>32</v>
      </c>
      <c r="H114">
        <v>6.03</v>
      </c>
      <c r="I114">
        <v>49</v>
      </c>
      <c r="J114">
        <v>295.47000000000003</v>
      </c>
    </row>
    <row r="115" spans="1:10" x14ac:dyDescent="0.25">
      <c r="A115">
        <v>114</v>
      </c>
      <c r="B115" s="1">
        <v>45888</v>
      </c>
      <c r="C115" t="s">
        <v>10</v>
      </c>
      <c r="D115" t="s">
        <v>21</v>
      </c>
      <c r="E115" t="s">
        <v>12</v>
      </c>
      <c r="F115" t="s">
        <v>26</v>
      </c>
      <c r="G115" t="s">
        <v>14</v>
      </c>
      <c r="H115">
        <v>18.010000000000002</v>
      </c>
      <c r="I115">
        <v>125</v>
      </c>
      <c r="J115">
        <v>2251.25</v>
      </c>
    </row>
    <row r="116" spans="1:10" x14ac:dyDescent="0.25">
      <c r="A116">
        <v>115</v>
      </c>
      <c r="B116" s="1">
        <v>45802</v>
      </c>
      <c r="C116" t="s">
        <v>15</v>
      </c>
      <c r="D116" t="s">
        <v>33</v>
      </c>
      <c r="E116" t="s">
        <v>12</v>
      </c>
      <c r="F116" t="s">
        <v>26</v>
      </c>
      <c r="G116" t="s">
        <v>14</v>
      </c>
      <c r="H116">
        <v>18.32</v>
      </c>
      <c r="I116">
        <v>121</v>
      </c>
      <c r="J116">
        <v>2216.7199999999998</v>
      </c>
    </row>
    <row r="117" spans="1:10" x14ac:dyDescent="0.25">
      <c r="A117">
        <v>116</v>
      </c>
      <c r="B117" s="1">
        <v>45959</v>
      </c>
      <c r="C117" t="s">
        <v>37</v>
      </c>
      <c r="D117" t="s">
        <v>21</v>
      </c>
      <c r="E117" t="s">
        <v>22</v>
      </c>
      <c r="F117" t="s">
        <v>13</v>
      </c>
      <c r="G117" t="s">
        <v>14</v>
      </c>
      <c r="H117">
        <v>17.38</v>
      </c>
      <c r="I117">
        <v>55</v>
      </c>
      <c r="J117">
        <v>955.9</v>
      </c>
    </row>
    <row r="118" spans="1:10" x14ac:dyDescent="0.25">
      <c r="A118">
        <v>117</v>
      </c>
      <c r="B118" s="1">
        <v>45734</v>
      </c>
      <c r="C118" t="s">
        <v>15</v>
      </c>
      <c r="D118" t="s">
        <v>21</v>
      </c>
      <c r="E118" t="s">
        <v>31</v>
      </c>
      <c r="F118" t="s">
        <v>26</v>
      </c>
      <c r="G118" t="s">
        <v>14</v>
      </c>
      <c r="H118">
        <v>22.94</v>
      </c>
      <c r="I118">
        <v>41</v>
      </c>
      <c r="J118">
        <v>940.54</v>
      </c>
    </row>
    <row r="119" spans="1:10" x14ac:dyDescent="0.25">
      <c r="A119">
        <v>118</v>
      </c>
      <c r="B119" s="1">
        <v>45949</v>
      </c>
      <c r="C119" t="s">
        <v>15</v>
      </c>
      <c r="D119" t="s">
        <v>24</v>
      </c>
      <c r="E119" t="s">
        <v>29</v>
      </c>
      <c r="F119" t="s">
        <v>36</v>
      </c>
      <c r="G119" t="s">
        <v>32</v>
      </c>
      <c r="H119">
        <v>23.23</v>
      </c>
      <c r="I119">
        <v>117</v>
      </c>
      <c r="J119">
        <v>2717.91</v>
      </c>
    </row>
    <row r="120" spans="1:10" x14ac:dyDescent="0.25">
      <c r="A120">
        <v>119</v>
      </c>
      <c r="B120" s="1">
        <v>45914</v>
      </c>
      <c r="C120" t="s">
        <v>15</v>
      </c>
      <c r="D120" t="s">
        <v>16</v>
      </c>
      <c r="E120" t="s">
        <v>39</v>
      </c>
      <c r="F120" t="s">
        <v>36</v>
      </c>
      <c r="G120" t="s">
        <v>14</v>
      </c>
      <c r="H120">
        <v>14.65</v>
      </c>
      <c r="I120">
        <v>117</v>
      </c>
      <c r="J120">
        <v>1714.05</v>
      </c>
    </row>
    <row r="121" spans="1:10" x14ac:dyDescent="0.25">
      <c r="A121">
        <v>120</v>
      </c>
      <c r="B121" s="1">
        <v>45823</v>
      </c>
      <c r="C121" t="s">
        <v>15</v>
      </c>
      <c r="D121" t="s">
        <v>11</v>
      </c>
      <c r="E121" t="s">
        <v>25</v>
      </c>
      <c r="F121" t="s">
        <v>18</v>
      </c>
      <c r="G121" t="s">
        <v>14</v>
      </c>
      <c r="H121">
        <v>16.079999999999998</v>
      </c>
      <c r="I121">
        <v>11</v>
      </c>
      <c r="J121">
        <v>176.88</v>
      </c>
    </row>
    <row r="122" spans="1:10" x14ac:dyDescent="0.25">
      <c r="A122">
        <v>121</v>
      </c>
      <c r="B122" s="1">
        <v>45795</v>
      </c>
      <c r="C122" t="s">
        <v>27</v>
      </c>
      <c r="D122" t="s">
        <v>11</v>
      </c>
      <c r="E122" t="s">
        <v>38</v>
      </c>
      <c r="F122" t="s">
        <v>36</v>
      </c>
      <c r="G122" t="s">
        <v>32</v>
      </c>
      <c r="H122">
        <v>15.47</v>
      </c>
      <c r="I122">
        <v>200</v>
      </c>
      <c r="J122">
        <v>3094</v>
      </c>
    </row>
    <row r="123" spans="1:10" x14ac:dyDescent="0.25">
      <c r="A123">
        <v>122</v>
      </c>
      <c r="B123" s="1">
        <v>45750</v>
      </c>
      <c r="C123" t="s">
        <v>30</v>
      </c>
      <c r="D123" t="s">
        <v>24</v>
      </c>
      <c r="E123" t="s">
        <v>34</v>
      </c>
      <c r="F123" t="s">
        <v>36</v>
      </c>
      <c r="G123" t="s">
        <v>32</v>
      </c>
      <c r="H123">
        <v>24.93</v>
      </c>
      <c r="I123">
        <v>116</v>
      </c>
      <c r="J123">
        <v>2891.88</v>
      </c>
    </row>
    <row r="124" spans="1:10" x14ac:dyDescent="0.25">
      <c r="A124">
        <v>123</v>
      </c>
      <c r="B124" s="1">
        <v>45867</v>
      </c>
      <c r="C124" t="s">
        <v>15</v>
      </c>
      <c r="D124" t="s">
        <v>11</v>
      </c>
      <c r="E124" t="s">
        <v>35</v>
      </c>
      <c r="F124" t="s">
        <v>36</v>
      </c>
      <c r="G124" t="s">
        <v>14</v>
      </c>
      <c r="H124">
        <v>10</v>
      </c>
      <c r="I124">
        <v>176</v>
      </c>
      <c r="J124">
        <v>1760</v>
      </c>
    </row>
    <row r="125" spans="1:10" x14ac:dyDescent="0.25">
      <c r="A125">
        <v>124</v>
      </c>
      <c r="B125" s="1">
        <v>45911</v>
      </c>
      <c r="C125" t="s">
        <v>27</v>
      </c>
      <c r="D125" t="s">
        <v>16</v>
      </c>
      <c r="E125" t="s">
        <v>39</v>
      </c>
      <c r="F125" t="s">
        <v>36</v>
      </c>
      <c r="G125" t="s">
        <v>19</v>
      </c>
      <c r="H125">
        <v>8.98</v>
      </c>
      <c r="I125">
        <v>107</v>
      </c>
      <c r="J125">
        <v>960.86</v>
      </c>
    </row>
    <row r="126" spans="1:10" x14ac:dyDescent="0.25">
      <c r="A126">
        <v>125</v>
      </c>
      <c r="B126" s="1">
        <v>45819</v>
      </c>
      <c r="C126" t="s">
        <v>27</v>
      </c>
      <c r="D126" t="s">
        <v>24</v>
      </c>
      <c r="E126" t="s">
        <v>22</v>
      </c>
      <c r="F126" t="s">
        <v>18</v>
      </c>
      <c r="G126" t="s">
        <v>14</v>
      </c>
      <c r="H126">
        <v>8.18</v>
      </c>
      <c r="I126">
        <v>34</v>
      </c>
      <c r="J126">
        <v>278.12</v>
      </c>
    </row>
    <row r="127" spans="1:10" x14ac:dyDescent="0.25">
      <c r="A127">
        <v>126</v>
      </c>
      <c r="B127" s="1">
        <v>45935</v>
      </c>
      <c r="C127" t="s">
        <v>23</v>
      </c>
      <c r="D127" t="s">
        <v>16</v>
      </c>
      <c r="E127" t="s">
        <v>35</v>
      </c>
      <c r="F127" t="s">
        <v>36</v>
      </c>
      <c r="G127" t="s">
        <v>14</v>
      </c>
      <c r="H127">
        <v>12.89</v>
      </c>
      <c r="I127">
        <v>18</v>
      </c>
      <c r="J127">
        <v>232.02</v>
      </c>
    </row>
    <row r="128" spans="1:10" x14ac:dyDescent="0.25">
      <c r="A128">
        <v>127</v>
      </c>
      <c r="B128" s="1">
        <v>45884</v>
      </c>
      <c r="C128" t="s">
        <v>10</v>
      </c>
      <c r="D128" t="s">
        <v>16</v>
      </c>
      <c r="E128" t="s">
        <v>31</v>
      </c>
      <c r="F128" t="s">
        <v>26</v>
      </c>
      <c r="G128" t="s">
        <v>32</v>
      </c>
      <c r="H128">
        <v>19.600000000000001</v>
      </c>
      <c r="I128">
        <v>57</v>
      </c>
      <c r="J128">
        <v>1117.2</v>
      </c>
    </row>
    <row r="129" spans="1:10" x14ac:dyDescent="0.25">
      <c r="A129">
        <v>128</v>
      </c>
      <c r="B129" s="1">
        <v>46015</v>
      </c>
      <c r="C129" t="s">
        <v>30</v>
      </c>
      <c r="D129" t="s">
        <v>16</v>
      </c>
      <c r="E129" t="s">
        <v>12</v>
      </c>
      <c r="F129" t="s">
        <v>13</v>
      </c>
      <c r="G129" t="s">
        <v>32</v>
      </c>
      <c r="H129">
        <v>13.41</v>
      </c>
      <c r="I129">
        <v>12</v>
      </c>
      <c r="J129">
        <v>160.91999999999999</v>
      </c>
    </row>
    <row r="130" spans="1:10" x14ac:dyDescent="0.25">
      <c r="A130">
        <v>129</v>
      </c>
      <c r="B130" s="1">
        <v>45940</v>
      </c>
      <c r="C130" t="s">
        <v>15</v>
      </c>
      <c r="D130" t="s">
        <v>11</v>
      </c>
      <c r="E130" t="s">
        <v>34</v>
      </c>
      <c r="F130" t="s">
        <v>36</v>
      </c>
      <c r="G130" t="s">
        <v>19</v>
      </c>
      <c r="H130">
        <v>2.81</v>
      </c>
      <c r="I130">
        <v>109</v>
      </c>
      <c r="J130">
        <v>306.29000000000002</v>
      </c>
    </row>
    <row r="131" spans="1:10" x14ac:dyDescent="0.25">
      <c r="A131">
        <v>130</v>
      </c>
      <c r="B131" s="1">
        <v>45989</v>
      </c>
      <c r="C131" t="s">
        <v>30</v>
      </c>
      <c r="D131" t="s">
        <v>28</v>
      </c>
      <c r="E131" t="s">
        <v>22</v>
      </c>
      <c r="F131" t="s">
        <v>26</v>
      </c>
      <c r="G131" t="s">
        <v>32</v>
      </c>
      <c r="H131">
        <v>21.22</v>
      </c>
      <c r="I131">
        <v>132</v>
      </c>
      <c r="J131">
        <v>2801.04</v>
      </c>
    </row>
    <row r="132" spans="1:10" x14ac:dyDescent="0.25">
      <c r="A132">
        <v>131</v>
      </c>
      <c r="B132" s="1">
        <v>45905</v>
      </c>
      <c r="C132" t="s">
        <v>37</v>
      </c>
      <c r="D132" t="s">
        <v>16</v>
      </c>
      <c r="E132" t="s">
        <v>31</v>
      </c>
      <c r="F132" t="s">
        <v>36</v>
      </c>
      <c r="G132" t="s">
        <v>19</v>
      </c>
      <c r="H132">
        <v>24.56</v>
      </c>
      <c r="I132">
        <v>67</v>
      </c>
      <c r="J132">
        <v>1645.52</v>
      </c>
    </row>
    <row r="133" spans="1:10" x14ac:dyDescent="0.25">
      <c r="A133">
        <v>132</v>
      </c>
      <c r="B133" s="1">
        <v>45964</v>
      </c>
      <c r="C133" t="s">
        <v>27</v>
      </c>
      <c r="D133" t="s">
        <v>21</v>
      </c>
      <c r="E133" t="s">
        <v>29</v>
      </c>
      <c r="F133" t="s">
        <v>36</v>
      </c>
      <c r="G133" t="s">
        <v>32</v>
      </c>
      <c r="H133">
        <v>13.94</v>
      </c>
      <c r="I133">
        <v>39</v>
      </c>
      <c r="J133">
        <v>543.66</v>
      </c>
    </row>
    <row r="134" spans="1:10" x14ac:dyDescent="0.25">
      <c r="A134">
        <v>133</v>
      </c>
      <c r="B134" s="1">
        <v>45917</v>
      </c>
      <c r="C134" t="s">
        <v>10</v>
      </c>
      <c r="D134" t="s">
        <v>33</v>
      </c>
      <c r="E134" t="s">
        <v>29</v>
      </c>
      <c r="F134" t="s">
        <v>36</v>
      </c>
      <c r="G134" t="s">
        <v>19</v>
      </c>
      <c r="H134">
        <v>8.51</v>
      </c>
      <c r="I134">
        <v>5</v>
      </c>
      <c r="J134">
        <v>42.55</v>
      </c>
    </row>
    <row r="135" spans="1:10" x14ac:dyDescent="0.25">
      <c r="A135">
        <v>134</v>
      </c>
      <c r="B135" s="1">
        <v>45886</v>
      </c>
      <c r="C135" t="s">
        <v>10</v>
      </c>
      <c r="D135" t="s">
        <v>16</v>
      </c>
      <c r="E135" t="s">
        <v>22</v>
      </c>
      <c r="F135" t="s">
        <v>36</v>
      </c>
      <c r="G135" t="s">
        <v>32</v>
      </c>
      <c r="H135">
        <v>14.62</v>
      </c>
      <c r="I135">
        <v>93</v>
      </c>
      <c r="J135">
        <v>1359.66</v>
      </c>
    </row>
    <row r="136" spans="1:10" x14ac:dyDescent="0.25">
      <c r="A136">
        <v>135</v>
      </c>
      <c r="B136" s="1">
        <v>45822</v>
      </c>
      <c r="C136" t="s">
        <v>23</v>
      </c>
      <c r="D136" t="s">
        <v>16</v>
      </c>
      <c r="E136" t="s">
        <v>17</v>
      </c>
      <c r="F136" t="s">
        <v>13</v>
      </c>
      <c r="G136" t="s">
        <v>32</v>
      </c>
      <c r="H136">
        <v>22.07</v>
      </c>
      <c r="I136">
        <v>183</v>
      </c>
      <c r="J136">
        <v>4038.81</v>
      </c>
    </row>
    <row r="137" spans="1:10" x14ac:dyDescent="0.25">
      <c r="A137">
        <v>136</v>
      </c>
      <c r="B137" s="1">
        <v>45680</v>
      </c>
      <c r="C137" t="s">
        <v>30</v>
      </c>
      <c r="D137" t="s">
        <v>24</v>
      </c>
      <c r="E137" t="s">
        <v>17</v>
      </c>
      <c r="F137" t="s">
        <v>13</v>
      </c>
      <c r="G137" t="s">
        <v>32</v>
      </c>
      <c r="H137">
        <v>9.66</v>
      </c>
      <c r="I137">
        <v>126</v>
      </c>
      <c r="J137">
        <v>1217.1600000000001</v>
      </c>
    </row>
    <row r="138" spans="1:10" x14ac:dyDescent="0.25">
      <c r="A138">
        <v>137</v>
      </c>
      <c r="B138" s="1">
        <v>45676</v>
      </c>
      <c r="C138" t="s">
        <v>10</v>
      </c>
      <c r="D138" t="s">
        <v>21</v>
      </c>
      <c r="E138" t="s">
        <v>38</v>
      </c>
      <c r="F138" t="s">
        <v>18</v>
      </c>
      <c r="G138" t="s">
        <v>14</v>
      </c>
      <c r="H138">
        <v>5.34</v>
      </c>
      <c r="I138">
        <v>156</v>
      </c>
      <c r="J138">
        <v>833.04</v>
      </c>
    </row>
    <row r="139" spans="1:10" x14ac:dyDescent="0.25">
      <c r="A139">
        <v>138</v>
      </c>
      <c r="B139" s="1">
        <v>45891</v>
      </c>
      <c r="C139" t="s">
        <v>37</v>
      </c>
      <c r="D139" t="s">
        <v>33</v>
      </c>
      <c r="E139" t="s">
        <v>31</v>
      </c>
      <c r="F139" t="s">
        <v>18</v>
      </c>
      <c r="G139" t="s">
        <v>32</v>
      </c>
      <c r="H139">
        <v>2.85</v>
      </c>
      <c r="I139">
        <v>41</v>
      </c>
      <c r="J139">
        <v>116.85</v>
      </c>
    </row>
    <row r="140" spans="1:10" x14ac:dyDescent="0.25">
      <c r="A140">
        <v>139</v>
      </c>
      <c r="B140" s="1">
        <v>45793</v>
      </c>
      <c r="C140" t="s">
        <v>37</v>
      </c>
      <c r="D140" t="s">
        <v>33</v>
      </c>
      <c r="E140" t="s">
        <v>34</v>
      </c>
      <c r="F140" t="s">
        <v>26</v>
      </c>
      <c r="G140" t="s">
        <v>14</v>
      </c>
      <c r="H140">
        <v>10.119999999999999</v>
      </c>
      <c r="I140">
        <v>182</v>
      </c>
      <c r="J140">
        <v>1841.84</v>
      </c>
    </row>
    <row r="141" spans="1:10" x14ac:dyDescent="0.25">
      <c r="A141">
        <v>140</v>
      </c>
      <c r="B141" s="1">
        <v>45931</v>
      </c>
      <c r="C141" t="s">
        <v>30</v>
      </c>
      <c r="D141" t="s">
        <v>33</v>
      </c>
      <c r="E141" t="s">
        <v>38</v>
      </c>
      <c r="F141" t="s">
        <v>18</v>
      </c>
      <c r="G141" t="s">
        <v>14</v>
      </c>
      <c r="H141">
        <v>11.05</v>
      </c>
      <c r="I141">
        <v>86</v>
      </c>
      <c r="J141">
        <v>950.3</v>
      </c>
    </row>
    <row r="142" spans="1:10" x14ac:dyDescent="0.25">
      <c r="A142">
        <v>141</v>
      </c>
      <c r="B142" s="1">
        <v>45693</v>
      </c>
      <c r="C142" t="s">
        <v>10</v>
      </c>
      <c r="D142" t="s">
        <v>11</v>
      </c>
      <c r="E142" t="s">
        <v>34</v>
      </c>
      <c r="F142" t="s">
        <v>36</v>
      </c>
      <c r="G142" t="s">
        <v>19</v>
      </c>
      <c r="H142">
        <v>7.78</v>
      </c>
      <c r="I142">
        <v>180</v>
      </c>
      <c r="J142">
        <v>1400.4</v>
      </c>
    </row>
    <row r="143" spans="1:10" x14ac:dyDescent="0.25">
      <c r="A143">
        <v>142</v>
      </c>
      <c r="B143" s="1">
        <v>45982</v>
      </c>
      <c r="C143" t="s">
        <v>37</v>
      </c>
      <c r="D143" t="s">
        <v>11</v>
      </c>
      <c r="E143" t="s">
        <v>29</v>
      </c>
      <c r="F143" t="s">
        <v>18</v>
      </c>
      <c r="G143" t="s">
        <v>19</v>
      </c>
      <c r="H143">
        <v>18.34</v>
      </c>
      <c r="I143">
        <v>30</v>
      </c>
      <c r="J143">
        <v>550.20000000000005</v>
      </c>
    </row>
    <row r="144" spans="1:10" x14ac:dyDescent="0.25">
      <c r="A144">
        <v>143</v>
      </c>
      <c r="B144" s="1">
        <v>45824</v>
      </c>
      <c r="C144" t="s">
        <v>10</v>
      </c>
      <c r="D144" t="s">
        <v>28</v>
      </c>
      <c r="E144" t="s">
        <v>17</v>
      </c>
      <c r="F144" t="s">
        <v>13</v>
      </c>
      <c r="G144" t="s">
        <v>19</v>
      </c>
      <c r="H144">
        <v>20.41</v>
      </c>
      <c r="I144">
        <v>80</v>
      </c>
      <c r="J144">
        <v>1632.8</v>
      </c>
    </row>
    <row r="145" spans="1:10" x14ac:dyDescent="0.25">
      <c r="A145">
        <v>144</v>
      </c>
      <c r="B145" s="1">
        <v>45929</v>
      </c>
      <c r="C145" t="s">
        <v>27</v>
      </c>
      <c r="D145" t="s">
        <v>11</v>
      </c>
      <c r="E145" t="s">
        <v>31</v>
      </c>
      <c r="F145" t="s">
        <v>13</v>
      </c>
      <c r="G145" t="s">
        <v>19</v>
      </c>
      <c r="H145">
        <v>11.77</v>
      </c>
      <c r="I145">
        <v>179</v>
      </c>
      <c r="J145">
        <v>2106.83</v>
      </c>
    </row>
    <row r="146" spans="1:10" x14ac:dyDescent="0.25">
      <c r="A146">
        <v>145</v>
      </c>
      <c r="B146" s="1">
        <v>45970</v>
      </c>
      <c r="C146" t="s">
        <v>30</v>
      </c>
      <c r="D146" t="s">
        <v>11</v>
      </c>
      <c r="E146" t="s">
        <v>38</v>
      </c>
      <c r="F146" t="s">
        <v>13</v>
      </c>
      <c r="G146" t="s">
        <v>19</v>
      </c>
      <c r="H146">
        <v>22.09</v>
      </c>
      <c r="I146">
        <v>163</v>
      </c>
      <c r="J146">
        <v>3600.67</v>
      </c>
    </row>
    <row r="147" spans="1:10" x14ac:dyDescent="0.25">
      <c r="A147">
        <v>146</v>
      </c>
      <c r="B147" s="1">
        <v>45894</v>
      </c>
      <c r="C147" t="s">
        <v>10</v>
      </c>
      <c r="D147" t="s">
        <v>33</v>
      </c>
      <c r="E147" t="s">
        <v>39</v>
      </c>
      <c r="F147" t="s">
        <v>36</v>
      </c>
      <c r="G147" t="s">
        <v>32</v>
      </c>
      <c r="H147">
        <v>16.850000000000001</v>
      </c>
      <c r="I147">
        <v>122</v>
      </c>
      <c r="J147">
        <v>2055.6999999999998</v>
      </c>
    </row>
    <row r="148" spans="1:10" x14ac:dyDescent="0.25">
      <c r="A148">
        <v>147</v>
      </c>
      <c r="B148" s="1">
        <v>46004</v>
      </c>
      <c r="C148" t="s">
        <v>37</v>
      </c>
      <c r="D148" t="s">
        <v>28</v>
      </c>
      <c r="E148" t="s">
        <v>25</v>
      </c>
      <c r="F148" t="s">
        <v>26</v>
      </c>
      <c r="G148" t="s">
        <v>14</v>
      </c>
      <c r="H148">
        <v>14.8</v>
      </c>
      <c r="I148">
        <v>23</v>
      </c>
      <c r="J148">
        <v>340.4</v>
      </c>
    </row>
    <row r="149" spans="1:10" x14ac:dyDescent="0.25">
      <c r="A149">
        <v>148</v>
      </c>
      <c r="B149" s="1">
        <v>45875</v>
      </c>
      <c r="C149" t="s">
        <v>27</v>
      </c>
      <c r="D149" t="s">
        <v>28</v>
      </c>
      <c r="E149" t="s">
        <v>12</v>
      </c>
      <c r="F149" t="s">
        <v>36</v>
      </c>
      <c r="G149" t="s">
        <v>32</v>
      </c>
      <c r="H149">
        <v>18.03</v>
      </c>
      <c r="I149">
        <v>121</v>
      </c>
      <c r="J149">
        <v>2181.63</v>
      </c>
    </row>
    <row r="150" spans="1:10" x14ac:dyDescent="0.25">
      <c r="A150">
        <v>149</v>
      </c>
      <c r="B150" s="1">
        <v>45712</v>
      </c>
      <c r="C150" t="s">
        <v>10</v>
      </c>
      <c r="D150" t="s">
        <v>16</v>
      </c>
      <c r="E150" t="s">
        <v>29</v>
      </c>
      <c r="F150" t="s">
        <v>26</v>
      </c>
      <c r="G150" t="s">
        <v>19</v>
      </c>
      <c r="H150">
        <v>7.84</v>
      </c>
      <c r="I150">
        <v>151</v>
      </c>
      <c r="J150">
        <v>1183.8399999999999</v>
      </c>
    </row>
    <row r="151" spans="1:10" x14ac:dyDescent="0.25">
      <c r="A151">
        <v>150</v>
      </c>
      <c r="B151" s="1">
        <v>45995</v>
      </c>
      <c r="C151" t="s">
        <v>20</v>
      </c>
      <c r="D151" t="s">
        <v>33</v>
      </c>
      <c r="E151" t="s">
        <v>39</v>
      </c>
      <c r="F151" t="s">
        <v>36</v>
      </c>
      <c r="G151" t="s">
        <v>32</v>
      </c>
      <c r="H151">
        <v>11.41</v>
      </c>
      <c r="I151">
        <v>7</v>
      </c>
      <c r="J151">
        <v>79.87</v>
      </c>
    </row>
    <row r="152" spans="1:10" x14ac:dyDescent="0.25">
      <c r="A152">
        <v>151</v>
      </c>
      <c r="B152" s="1">
        <v>45775</v>
      </c>
      <c r="C152" t="s">
        <v>23</v>
      </c>
      <c r="D152" t="s">
        <v>33</v>
      </c>
      <c r="E152" t="s">
        <v>12</v>
      </c>
      <c r="F152" t="s">
        <v>26</v>
      </c>
      <c r="G152" t="s">
        <v>14</v>
      </c>
      <c r="H152">
        <v>16.16</v>
      </c>
      <c r="I152">
        <v>95</v>
      </c>
      <c r="J152">
        <v>1535.2</v>
      </c>
    </row>
    <row r="153" spans="1:10" x14ac:dyDescent="0.25">
      <c r="A153">
        <v>152</v>
      </c>
      <c r="B153" s="1">
        <v>45995</v>
      </c>
      <c r="C153" t="s">
        <v>30</v>
      </c>
      <c r="D153" t="s">
        <v>21</v>
      </c>
      <c r="E153" t="s">
        <v>39</v>
      </c>
      <c r="F153" t="s">
        <v>26</v>
      </c>
      <c r="G153" t="s">
        <v>32</v>
      </c>
      <c r="H153">
        <v>17.82</v>
      </c>
      <c r="I153">
        <v>40</v>
      </c>
      <c r="J153">
        <v>712.8</v>
      </c>
    </row>
    <row r="154" spans="1:10" x14ac:dyDescent="0.25">
      <c r="A154">
        <v>153</v>
      </c>
      <c r="B154" s="1">
        <v>45675</v>
      </c>
      <c r="C154" t="s">
        <v>23</v>
      </c>
      <c r="D154" t="s">
        <v>21</v>
      </c>
      <c r="E154" t="s">
        <v>29</v>
      </c>
      <c r="F154" t="s">
        <v>26</v>
      </c>
      <c r="G154" t="s">
        <v>14</v>
      </c>
      <c r="H154">
        <v>15.54</v>
      </c>
      <c r="I154">
        <v>192</v>
      </c>
      <c r="J154">
        <v>2983.68</v>
      </c>
    </row>
    <row r="155" spans="1:10" x14ac:dyDescent="0.25">
      <c r="A155">
        <v>154</v>
      </c>
      <c r="B155" s="1">
        <v>45870</v>
      </c>
      <c r="C155" t="s">
        <v>27</v>
      </c>
      <c r="D155" t="s">
        <v>16</v>
      </c>
      <c r="E155" t="s">
        <v>35</v>
      </c>
      <c r="F155" t="s">
        <v>26</v>
      </c>
      <c r="G155" t="s">
        <v>19</v>
      </c>
      <c r="H155">
        <v>6.45</v>
      </c>
      <c r="I155">
        <v>38</v>
      </c>
      <c r="J155">
        <v>245.1</v>
      </c>
    </row>
    <row r="156" spans="1:10" x14ac:dyDescent="0.25">
      <c r="A156">
        <v>155</v>
      </c>
      <c r="B156" s="1">
        <v>45789</v>
      </c>
      <c r="C156" t="s">
        <v>27</v>
      </c>
      <c r="D156" t="s">
        <v>28</v>
      </c>
      <c r="E156" t="s">
        <v>35</v>
      </c>
      <c r="F156" t="s">
        <v>18</v>
      </c>
      <c r="G156" t="s">
        <v>32</v>
      </c>
      <c r="H156">
        <v>23.07</v>
      </c>
      <c r="I156">
        <v>128</v>
      </c>
      <c r="J156">
        <v>2952.96</v>
      </c>
    </row>
    <row r="157" spans="1:10" x14ac:dyDescent="0.25">
      <c r="A157">
        <v>156</v>
      </c>
      <c r="B157" s="1">
        <v>45696</v>
      </c>
      <c r="C157" t="s">
        <v>27</v>
      </c>
      <c r="D157" t="s">
        <v>33</v>
      </c>
      <c r="E157" t="s">
        <v>17</v>
      </c>
      <c r="F157" t="s">
        <v>26</v>
      </c>
      <c r="G157" t="s">
        <v>19</v>
      </c>
      <c r="H157">
        <v>5.67</v>
      </c>
      <c r="I157">
        <v>62</v>
      </c>
      <c r="J157">
        <v>351.54</v>
      </c>
    </row>
    <row r="158" spans="1:10" x14ac:dyDescent="0.25">
      <c r="A158">
        <v>157</v>
      </c>
      <c r="B158" s="1">
        <v>45860</v>
      </c>
      <c r="C158" t="s">
        <v>15</v>
      </c>
      <c r="D158" t="s">
        <v>24</v>
      </c>
      <c r="E158" t="s">
        <v>35</v>
      </c>
      <c r="F158" t="s">
        <v>26</v>
      </c>
      <c r="G158" t="s">
        <v>14</v>
      </c>
      <c r="H158">
        <v>2.81</v>
      </c>
      <c r="I158">
        <v>142</v>
      </c>
      <c r="J158">
        <v>399.02</v>
      </c>
    </row>
    <row r="159" spans="1:10" x14ac:dyDescent="0.25">
      <c r="A159">
        <v>158</v>
      </c>
      <c r="B159" s="1">
        <v>45853</v>
      </c>
      <c r="C159" t="s">
        <v>15</v>
      </c>
      <c r="D159" t="s">
        <v>33</v>
      </c>
      <c r="E159" t="s">
        <v>12</v>
      </c>
      <c r="F159" t="s">
        <v>36</v>
      </c>
      <c r="G159" t="s">
        <v>19</v>
      </c>
      <c r="H159">
        <v>21</v>
      </c>
      <c r="I159">
        <v>100</v>
      </c>
      <c r="J159">
        <v>2100</v>
      </c>
    </row>
    <row r="160" spans="1:10" x14ac:dyDescent="0.25">
      <c r="A160">
        <v>159</v>
      </c>
      <c r="B160" s="1">
        <v>45975</v>
      </c>
      <c r="C160" t="s">
        <v>10</v>
      </c>
      <c r="D160" t="s">
        <v>16</v>
      </c>
      <c r="E160" t="s">
        <v>12</v>
      </c>
      <c r="F160" t="s">
        <v>18</v>
      </c>
      <c r="G160" t="s">
        <v>14</v>
      </c>
      <c r="H160">
        <v>22.4</v>
      </c>
      <c r="I160">
        <v>148</v>
      </c>
      <c r="J160">
        <v>3315.2</v>
      </c>
    </row>
    <row r="161" spans="1:10" x14ac:dyDescent="0.25">
      <c r="A161">
        <v>160</v>
      </c>
      <c r="B161" s="1">
        <v>45895</v>
      </c>
      <c r="C161" t="s">
        <v>30</v>
      </c>
      <c r="D161" t="s">
        <v>24</v>
      </c>
      <c r="E161" t="s">
        <v>34</v>
      </c>
      <c r="F161" t="s">
        <v>13</v>
      </c>
      <c r="G161" t="s">
        <v>19</v>
      </c>
      <c r="H161">
        <v>22.96</v>
      </c>
      <c r="I161">
        <v>82</v>
      </c>
      <c r="J161">
        <v>1882.72</v>
      </c>
    </row>
    <row r="162" spans="1:10" x14ac:dyDescent="0.25">
      <c r="A162">
        <v>161</v>
      </c>
      <c r="B162" s="1">
        <v>45677</v>
      </c>
      <c r="C162" t="s">
        <v>15</v>
      </c>
      <c r="D162" t="s">
        <v>21</v>
      </c>
      <c r="E162" t="s">
        <v>12</v>
      </c>
      <c r="F162" t="s">
        <v>13</v>
      </c>
      <c r="G162" t="s">
        <v>32</v>
      </c>
      <c r="H162">
        <v>9.35</v>
      </c>
      <c r="I162">
        <v>131</v>
      </c>
      <c r="J162">
        <v>1224.8499999999999</v>
      </c>
    </row>
    <row r="163" spans="1:10" x14ac:dyDescent="0.25">
      <c r="A163">
        <v>162</v>
      </c>
      <c r="B163" s="1">
        <v>45890</v>
      </c>
      <c r="C163" t="s">
        <v>30</v>
      </c>
      <c r="D163" t="s">
        <v>16</v>
      </c>
      <c r="E163" t="s">
        <v>17</v>
      </c>
      <c r="F163" t="s">
        <v>13</v>
      </c>
      <c r="G163" t="s">
        <v>32</v>
      </c>
      <c r="H163">
        <v>10.85</v>
      </c>
      <c r="I163">
        <v>195</v>
      </c>
      <c r="J163">
        <v>2115.75</v>
      </c>
    </row>
    <row r="164" spans="1:10" x14ac:dyDescent="0.25">
      <c r="A164">
        <v>163</v>
      </c>
      <c r="B164" s="1">
        <v>45993</v>
      </c>
      <c r="C164" t="s">
        <v>20</v>
      </c>
      <c r="D164" t="s">
        <v>24</v>
      </c>
      <c r="E164" t="s">
        <v>29</v>
      </c>
      <c r="F164" t="s">
        <v>18</v>
      </c>
      <c r="G164" t="s">
        <v>14</v>
      </c>
      <c r="H164">
        <v>4.7300000000000004</v>
      </c>
      <c r="I164">
        <v>130</v>
      </c>
      <c r="J164">
        <v>614.9</v>
      </c>
    </row>
    <row r="165" spans="1:10" x14ac:dyDescent="0.25">
      <c r="A165">
        <v>164</v>
      </c>
      <c r="B165" s="1">
        <v>45847</v>
      </c>
      <c r="C165" t="s">
        <v>23</v>
      </c>
      <c r="D165" t="s">
        <v>28</v>
      </c>
      <c r="E165" t="s">
        <v>34</v>
      </c>
      <c r="F165" t="s">
        <v>26</v>
      </c>
      <c r="G165" t="s">
        <v>14</v>
      </c>
      <c r="H165">
        <v>7.39</v>
      </c>
      <c r="I165">
        <v>118</v>
      </c>
      <c r="J165">
        <v>872.02</v>
      </c>
    </row>
    <row r="166" spans="1:10" x14ac:dyDescent="0.25">
      <c r="A166">
        <v>165</v>
      </c>
      <c r="B166" s="1">
        <v>45988</v>
      </c>
      <c r="C166" t="s">
        <v>10</v>
      </c>
      <c r="D166" t="s">
        <v>11</v>
      </c>
      <c r="E166" t="s">
        <v>34</v>
      </c>
      <c r="F166" t="s">
        <v>36</v>
      </c>
      <c r="G166" t="s">
        <v>19</v>
      </c>
      <c r="H166">
        <v>10.57</v>
      </c>
      <c r="I166">
        <v>106</v>
      </c>
      <c r="J166">
        <v>1120.42</v>
      </c>
    </row>
    <row r="167" spans="1:10" x14ac:dyDescent="0.25">
      <c r="A167">
        <v>166</v>
      </c>
      <c r="B167" s="1">
        <v>45997</v>
      </c>
      <c r="C167" t="s">
        <v>20</v>
      </c>
      <c r="D167" t="s">
        <v>21</v>
      </c>
      <c r="E167" t="s">
        <v>39</v>
      </c>
      <c r="F167" t="s">
        <v>26</v>
      </c>
      <c r="G167" t="s">
        <v>19</v>
      </c>
      <c r="H167">
        <v>7.27</v>
      </c>
      <c r="I167">
        <v>168</v>
      </c>
      <c r="J167">
        <v>1221.3599999999999</v>
      </c>
    </row>
    <row r="168" spans="1:10" x14ac:dyDescent="0.25">
      <c r="A168">
        <v>167</v>
      </c>
      <c r="B168" s="1">
        <v>45722</v>
      </c>
      <c r="C168" t="s">
        <v>15</v>
      </c>
      <c r="D168" t="s">
        <v>16</v>
      </c>
      <c r="E168" t="s">
        <v>12</v>
      </c>
      <c r="F168" t="s">
        <v>13</v>
      </c>
      <c r="G168" t="s">
        <v>19</v>
      </c>
      <c r="H168">
        <v>20.21</v>
      </c>
      <c r="I168">
        <v>57</v>
      </c>
      <c r="J168">
        <v>1151.97</v>
      </c>
    </row>
    <row r="169" spans="1:10" x14ac:dyDescent="0.25">
      <c r="A169">
        <v>168</v>
      </c>
      <c r="B169" s="1">
        <v>45826</v>
      </c>
      <c r="C169" t="s">
        <v>15</v>
      </c>
      <c r="D169" t="s">
        <v>28</v>
      </c>
      <c r="E169" t="s">
        <v>31</v>
      </c>
      <c r="F169" t="s">
        <v>13</v>
      </c>
      <c r="G169" t="s">
        <v>14</v>
      </c>
      <c r="H169">
        <v>19.920000000000002</v>
      </c>
      <c r="I169">
        <v>157</v>
      </c>
      <c r="J169">
        <v>3127.44</v>
      </c>
    </row>
    <row r="170" spans="1:10" x14ac:dyDescent="0.25">
      <c r="A170">
        <v>169</v>
      </c>
      <c r="B170" s="1">
        <v>45786</v>
      </c>
      <c r="C170" t="s">
        <v>30</v>
      </c>
      <c r="D170" t="s">
        <v>21</v>
      </c>
      <c r="E170" t="s">
        <v>31</v>
      </c>
      <c r="F170" t="s">
        <v>18</v>
      </c>
      <c r="G170" t="s">
        <v>32</v>
      </c>
      <c r="H170">
        <v>20.47</v>
      </c>
      <c r="I170">
        <v>33</v>
      </c>
      <c r="J170">
        <v>675.51</v>
      </c>
    </row>
    <row r="171" spans="1:10" x14ac:dyDescent="0.25">
      <c r="A171">
        <v>170</v>
      </c>
      <c r="B171" s="1">
        <v>45779</v>
      </c>
      <c r="C171" t="s">
        <v>23</v>
      </c>
      <c r="D171" t="s">
        <v>28</v>
      </c>
      <c r="E171" t="s">
        <v>39</v>
      </c>
      <c r="F171" t="s">
        <v>13</v>
      </c>
      <c r="G171" t="s">
        <v>14</v>
      </c>
      <c r="H171">
        <v>15.75</v>
      </c>
      <c r="I171">
        <v>9</v>
      </c>
      <c r="J171">
        <v>141.75</v>
      </c>
    </row>
    <row r="172" spans="1:10" x14ac:dyDescent="0.25">
      <c r="A172">
        <v>171</v>
      </c>
      <c r="B172" s="1">
        <v>45873</v>
      </c>
      <c r="C172" t="s">
        <v>15</v>
      </c>
      <c r="D172" t="s">
        <v>24</v>
      </c>
      <c r="E172" t="s">
        <v>38</v>
      </c>
      <c r="F172" t="s">
        <v>26</v>
      </c>
      <c r="G172" t="s">
        <v>14</v>
      </c>
      <c r="H172">
        <v>14.34</v>
      </c>
      <c r="I172">
        <v>195</v>
      </c>
      <c r="J172">
        <v>2796.3</v>
      </c>
    </row>
    <row r="173" spans="1:10" x14ac:dyDescent="0.25">
      <c r="A173">
        <v>172</v>
      </c>
      <c r="B173" s="1">
        <v>45961</v>
      </c>
      <c r="C173" t="s">
        <v>23</v>
      </c>
      <c r="D173" t="s">
        <v>16</v>
      </c>
      <c r="E173" t="s">
        <v>39</v>
      </c>
      <c r="F173" t="s">
        <v>26</v>
      </c>
      <c r="G173" t="s">
        <v>32</v>
      </c>
      <c r="H173">
        <v>4.95</v>
      </c>
      <c r="I173">
        <v>133</v>
      </c>
      <c r="J173">
        <v>658.35</v>
      </c>
    </row>
    <row r="174" spans="1:10" x14ac:dyDescent="0.25">
      <c r="A174">
        <v>173</v>
      </c>
      <c r="B174" s="1">
        <v>45987</v>
      </c>
      <c r="C174" t="s">
        <v>37</v>
      </c>
      <c r="D174" t="s">
        <v>24</v>
      </c>
      <c r="E174" t="s">
        <v>17</v>
      </c>
      <c r="F174" t="s">
        <v>18</v>
      </c>
      <c r="G174" t="s">
        <v>32</v>
      </c>
      <c r="H174">
        <v>24.19</v>
      </c>
      <c r="I174">
        <v>20</v>
      </c>
      <c r="J174">
        <v>483.8</v>
      </c>
    </row>
    <row r="175" spans="1:10" x14ac:dyDescent="0.25">
      <c r="A175">
        <v>174</v>
      </c>
      <c r="B175" s="1">
        <v>46022</v>
      </c>
      <c r="C175" t="s">
        <v>15</v>
      </c>
      <c r="D175" t="s">
        <v>28</v>
      </c>
      <c r="E175" t="s">
        <v>25</v>
      </c>
      <c r="F175" t="s">
        <v>13</v>
      </c>
      <c r="G175" t="s">
        <v>19</v>
      </c>
      <c r="H175">
        <v>22.97</v>
      </c>
      <c r="I175">
        <v>23</v>
      </c>
      <c r="J175">
        <v>528.30999999999995</v>
      </c>
    </row>
    <row r="176" spans="1:10" x14ac:dyDescent="0.25">
      <c r="A176">
        <v>175</v>
      </c>
      <c r="B176" s="1">
        <v>45722</v>
      </c>
      <c r="C176" t="s">
        <v>20</v>
      </c>
      <c r="D176" t="s">
        <v>16</v>
      </c>
      <c r="E176" t="s">
        <v>35</v>
      </c>
      <c r="F176" t="s">
        <v>36</v>
      </c>
      <c r="G176" t="s">
        <v>14</v>
      </c>
      <c r="H176">
        <v>8.69</v>
      </c>
      <c r="I176">
        <v>167</v>
      </c>
      <c r="J176">
        <v>1451.23</v>
      </c>
    </row>
    <row r="177" spans="1:10" x14ac:dyDescent="0.25">
      <c r="A177">
        <v>176</v>
      </c>
      <c r="B177" s="1">
        <v>45929</v>
      </c>
      <c r="C177" t="s">
        <v>20</v>
      </c>
      <c r="D177" t="s">
        <v>24</v>
      </c>
      <c r="E177" t="s">
        <v>34</v>
      </c>
      <c r="F177" t="s">
        <v>18</v>
      </c>
      <c r="G177" t="s">
        <v>14</v>
      </c>
      <c r="H177">
        <v>9.14</v>
      </c>
      <c r="I177">
        <v>134</v>
      </c>
      <c r="J177">
        <v>1224.76</v>
      </c>
    </row>
    <row r="178" spans="1:10" x14ac:dyDescent="0.25">
      <c r="A178">
        <v>177</v>
      </c>
      <c r="B178" s="1">
        <v>45991</v>
      </c>
      <c r="C178" t="s">
        <v>30</v>
      </c>
      <c r="D178" t="s">
        <v>11</v>
      </c>
      <c r="E178" t="s">
        <v>17</v>
      </c>
      <c r="F178" t="s">
        <v>36</v>
      </c>
      <c r="G178" t="s">
        <v>19</v>
      </c>
      <c r="H178">
        <v>22.25</v>
      </c>
      <c r="I178">
        <v>146</v>
      </c>
      <c r="J178">
        <v>3248.5</v>
      </c>
    </row>
    <row r="179" spans="1:10" x14ac:dyDescent="0.25">
      <c r="A179">
        <v>178</v>
      </c>
      <c r="B179" s="1">
        <v>45869</v>
      </c>
      <c r="C179" t="s">
        <v>37</v>
      </c>
      <c r="D179" t="s">
        <v>24</v>
      </c>
      <c r="E179" t="s">
        <v>34</v>
      </c>
      <c r="F179" t="s">
        <v>26</v>
      </c>
      <c r="G179" t="s">
        <v>32</v>
      </c>
      <c r="H179">
        <v>10.130000000000001</v>
      </c>
      <c r="I179">
        <v>121</v>
      </c>
      <c r="J179">
        <v>1225.73</v>
      </c>
    </row>
    <row r="180" spans="1:10" x14ac:dyDescent="0.25">
      <c r="A180">
        <v>179</v>
      </c>
      <c r="B180" s="1">
        <v>45818</v>
      </c>
      <c r="C180" t="s">
        <v>23</v>
      </c>
      <c r="D180" t="s">
        <v>33</v>
      </c>
      <c r="E180" t="s">
        <v>38</v>
      </c>
      <c r="F180" t="s">
        <v>18</v>
      </c>
      <c r="G180" t="s">
        <v>19</v>
      </c>
      <c r="H180">
        <v>17.46</v>
      </c>
      <c r="I180">
        <v>100</v>
      </c>
      <c r="J180">
        <v>1746</v>
      </c>
    </row>
    <row r="181" spans="1:10" x14ac:dyDescent="0.25">
      <c r="A181">
        <v>180</v>
      </c>
      <c r="B181" s="1">
        <v>45701</v>
      </c>
      <c r="C181" t="s">
        <v>30</v>
      </c>
      <c r="D181" t="s">
        <v>33</v>
      </c>
      <c r="E181" t="s">
        <v>35</v>
      </c>
      <c r="F181" t="s">
        <v>13</v>
      </c>
      <c r="G181" t="s">
        <v>14</v>
      </c>
      <c r="H181">
        <v>4.5999999999999996</v>
      </c>
      <c r="I181">
        <v>29</v>
      </c>
      <c r="J181">
        <v>133.4</v>
      </c>
    </row>
    <row r="182" spans="1:10" x14ac:dyDescent="0.25">
      <c r="A182">
        <v>181</v>
      </c>
      <c r="B182" s="1">
        <v>45688</v>
      </c>
      <c r="C182" t="s">
        <v>20</v>
      </c>
      <c r="D182" t="s">
        <v>28</v>
      </c>
      <c r="E182" t="s">
        <v>34</v>
      </c>
      <c r="F182" t="s">
        <v>36</v>
      </c>
      <c r="G182" t="s">
        <v>32</v>
      </c>
      <c r="H182">
        <v>15.7</v>
      </c>
      <c r="I182">
        <v>148</v>
      </c>
      <c r="J182">
        <v>2323.6</v>
      </c>
    </row>
    <row r="183" spans="1:10" x14ac:dyDescent="0.25">
      <c r="A183">
        <v>182</v>
      </c>
      <c r="B183" s="1">
        <v>45998</v>
      </c>
      <c r="C183" t="s">
        <v>27</v>
      </c>
      <c r="D183" t="s">
        <v>33</v>
      </c>
      <c r="E183" t="s">
        <v>39</v>
      </c>
      <c r="F183" t="s">
        <v>26</v>
      </c>
      <c r="G183" t="s">
        <v>14</v>
      </c>
      <c r="H183">
        <v>23.68</v>
      </c>
      <c r="I183">
        <v>113</v>
      </c>
      <c r="J183">
        <v>2675.84</v>
      </c>
    </row>
    <row r="184" spans="1:10" x14ac:dyDescent="0.25">
      <c r="A184">
        <v>183</v>
      </c>
      <c r="B184" s="1">
        <v>45817</v>
      </c>
      <c r="C184" t="s">
        <v>20</v>
      </c>
      <c r="D184" t="s">
        <v>11</v>
      </c>
      <c r="E184" t="s">
        <v>31</v>
      </c>
      <c r="F184" t="s">
        <v>36</v>
      </c>
      <c r="G184" t="s">
        <v>19</v>
      </c>
      <c r="H184">
        <v>10.41</v>
      </c>
      <c r="I184">
        <v>152</v>
      </c>
      <c r="J184">
        <v>1582.32</v>
      </c>
    </row>
    <row r="185" spans="1:10" x14ac:dyDescent="0.25">
      <c r="A185">
        <v>184</v>
      </c>
      <c r="B185" s="1">
        <v>45713</v>
      </c>
      <c r="C185" t="s">
        <v>10</v>
      </c>
      <c r="D185" t="s">
        <v>21</v>
      </c>
      <c r="E185" t="s">
        <v>29</v>
      </c>
      <c r="F185" t="s">
        <v>13</v>
      </c>
      <c r="G185" t="s">
        <v>32</v>
      </c>
      <c r="H185">
        <v>10.38</v>
      </c>
      <c r="I185">
        <v>147</v>
      </c>
      <c r="J185">
        <v>1525.86</v>
      </c>
    </row>
    <row r="186" spans="1:10" x14ac:dyDescent="0.25">
      <c r="A186">
        <v>185</v>
      </c>
      <c r="B186" s="1">
        <v>45945</v>
      </c>
      <c r="C186" t="s">
        <v>20</v>
      </c>
      <c r="D186" t="s">
        <v>33</v>
      </c>
      <c r="E186" t="s">
        <v>22</v>
      </c>
      <c r="F186" t="s">
        <v>18</v>
      </c>
      <c r="G186" t="s">
        <v>14</v>
      </c>
      <c r="H186">
        <v>24.43</v>
      </c>
      <c r="I186">
        <v>164</v>
      </c>
      <c r="J186">
        <v>4006.52</v>
      </c>
    </row>
    <row r="187" spans="1:10" x14ac:dyDescent="0.25">
      <c r="A187">
        <v>186</v>
      </c>
      <c r="B187" s="1">
        <v>45994</v>
      </c>
      <c r="C187" t="s">
        <v>15</v>
      </c>
      <c r="D187" t="s">
        <v>11</v>
      </c>
      <c r="E187" t="s">
        <v>29</v>
      </c>
      <c r="F187" t="s">
        <v>26</v>
      </c>
      <c r="G187" t="s">
        <v>32</v>
      </c>
      <c r="H187">
        <v>21.16</v>
      </c>
      <c r="I187">
        <v>73</v>
      </c>
      <c r="J187">
        <v>1544.68</v>
      </c>
    </row>
    <row r="188" spans="1:10" x14ac:dyDescent="0.25">
      <c r="A188">
        <v>187</v>
      </c>
      <c r="B188" s="1">
        <v>45837</v>
      </c>
      <c r="C188" t="s">
        <v>20</v>
      </c>
      <c r="D188" t="s">
        <v>33</v>
      </c>
      <c r="E188" t="s">
        <v>17</v>
      </c>
      <c r="F188" t="s">
        <v>18</v>
      </c>
      <c r="G188" t="s">
        <v>19</v>
      </c>
      <c r="H188">
        <v>2.64</v>
      </c>
      <c r="I188">
        <v>41</v>
      </c>
      <c r="J188">
        <v>108.24</v>
      </c>
    </row>
    <row r="189" spans="1:10" x14ac:dyDescent="0.25">
      <c r="A189">
        <v>188</v>
      </c>
      <c r="B189" s="1">
        <v>45982</v>
      </c>
      <c r="C189" t="s">
        <v>30</v>
      </c>
      <c r="D189" t="s">
        <v>16</v>
      </c>
      <c r="E189" t="s">
        <v>12</v>
      </c>
      <c r="F189" t="s">
        <v>36</v>
      </c>
      <c r="G189" t="s">
        <v>32</v>
      </c>
      <c r="H189">
        <v>24.37</v>
      </c>
      <c r="I189">
        <v>28</v>
      </c>
      <c r="J189">
        <v>682.36</v>
      </c>
    </row>
    <row r="190" spans="1:10" x14ac:dyDescent="0.25">
      <c r="A190">
        <v>189</v>
      </c>
      <c r="B190" s="1">
        <v>45890</v>
      </c>
      <c r="C190" t="s">
        <v>10</v>
      </c>
      <c r="D190" t="s">
        <v>33</v>
      </c>
      <c r="E190" t="s">
        <v>35</v>
      </c>
      <c r="F190" t="s">
        <v>18</v>
      </c>
      <c r="G190" t="s">
        <v>19</v>
      </c>
      <c r="H190">
        <v>10.17</v>
      </c>
      <c r="I190">
        <v>99</v>
      </c>
      <c r="J190">
        <v>1006.83</v>
      </c>
    </row>
    <row r="191" spans="1:10" x14ac:dyDescent="0.25">
      <c r="A191">
        <v>190</v>
      </c>
      <c r="B191" s="1">
        <v>45737</v>
      </c>
      <c r="C191" t="s">
        <v>15</v>
      </c>
      <c r="D191" t="s">
        <v>33</v>
      </c>
      <c r="E191" t="s">
        <v>34</v>
      </c>
      <c r="F191" t="s">
        <v>26</v>
      </c>
      <c r="G191" t="s">
        <v>32</v>
      </c>
      <c r="H191">
        <v>6.04</v>
      </c>
      <c r="I191">
        <v>163</v>
      </c>
      <c r="J191">
        <v>984.52</v>
      </c>
    </row>
    <row r="192" spans="1:10" x14ac:dyDescent="0.25">
      <c r="A192">
        <v>191</v>
      </c>
      <c r="B192" s="1">
        <v>45996</v>
      </c>
      <c r="C192" t="s">
        <v>37</v>
      </c>
      <c r="D192" t="s">
        <v>24</v>
      </c>
      <c r="E192" t="s">
        <v>29</v>
      </c>
      <c r="F192" t="s">
        <v>13</v>
      </c>
      <c r="G192" t="s">
        <v>14</v>
      </c>
      <c r="H192">
        <v>12.04</v>
      </c>
      <c r="I192">
        <v>160</v>
      </c>
      <c r="J192">
        <v>1926.4</v>
      </c>
    </row>
    <row r="193" spans="1:10" x14ac:dyDescent="0.25">
      <c r="A193">
        <v>192</v>
      </c>
      <c r="B193" s="1">
        <v>45716</v>
      </c>
      <c r="C193" t="s">
        <v>10</v>
      </c>
      <c r="D193" t="s">
        <v>33</v>
      </c>
      <c r="E193" t="s">
        <v>25</v>
      </c>
      <c r="F193" t="s">
        <v>36</v>
      </c>
      <c r="G193" t="s">
        <v>14</v>
      </c>
      <c r="H193">
        <v>10.27</v>
      </c>
      <c r="I193">
        <v>33</v>
      </c>
      <c r="J193">
        <v>338.91</v>
      </c>
    </row>
    <row r="194" spans="1:10" x14ac:dyDescent="0.25">
      <c r="A194">
        <v>193</v>
      </c>
      <c r="B194" s="1">
        <v>45999</v>
      </c>
      <c r="C194" t="s">
        <v>37</v>
      </c>
      <c r="D194" t="s">
        <v>16</v>
      </c>
      <c r="E194" t="s">
        <v>39</v>
      </c>
      <c r="F194" t="s">
        <v>18</v>
      </c>
      <c r="G194" t="s">
        <v>19</v>
      </c>
      <c r="H194">
        <v>9.44</v>
      </c>
      <c r="I194">
        <v>61</v>
      </c>
      <c r="J194">
        <v>575.84</v>
      </c>
    </row>
    <row r="195" spans="1:10" x14ac:dyDescent="0.25">
      <c r="A195">
        <v>194</v>
      </c>
      <c r="B195" s="1">
        <v>45812</v>
      </c>
      <c r="C195" t="s">
        <v>27</v>
      </c>
      <c r="D195" t="s">
        <v>28</v>
      </c>
      <c r="E195" t="s">
        <v>29</v>
      </c>
      <c r="F195" t="s">
        <v>26</v>
      </c>
      <c r="G195" t="s">
        <v>19</v>
      </c>
      <c r="H195">
        <v>23.77</v>
      </c>
      <c r="I195">
        <v>40</v>
      </c>
      <c r="J195">
        <v>950.8</v>
      </c>
    </row>
    <row r="196" spans="1:10" x14ac:dyDescent="0.25">
      <c r="A196">
        <v>195</v>
      </c>
      <c r="B196" s="1">
        <v>45661</v>
      </c>
      <c r="C196" t="s">
        <v>23</v>
      </c>
      <c r="D196" t="s">
        <v>11</v>
      </c>
      <c r="E196" t="s">
        <v>17</v>
      </c>
      <c r="F196" t="s">
        <v>13</v>
      </c>
      <c r="G196" t="s">
        <v>14</v>
      </c>
      <c r="H196">
        <v>13.69</v>
      </c>
      <c r="I196">
        <v>115</v>
      </c>
      <c r="J196">
        <v>1574.35</v>
      </c>
    </row>
    <row r="197" spans="1:10" x14ac:dyDescent="0.25">
      <c r="A197">
        <v>196</v>
      </c>
      <c r="B197" s="1">
        <v>45944</v>
      </c>
      <c r="C197" t="s">
        <v>15</v>
      </c>
      <c r="D197" t="s">
        <v>24</v>
      </c>
      <c r="E197" t="s">
        <v>39</v>
      </c>
      <c r="F197" t="s">
        <v>36</v>
      </c>
      <c r="G197" t="s">
        <v>19</v>
      </c>
      <c r="H197">
        <v>21.25</v>
      </c>
      <c r="I197">
        <v>95</v>
      </c>
      <c r="J197">
        <v>2018.75</v>
      </c>
    </row>
    <row r="198" spans="1:10" x14ac:dyDescent="0.25">
      <c r="A198">
        <v>197</v>
      </c>
      <c r="B198" s="1">
        <v>45893</v>
      </c>
      <c r="C198" t="s">
        <v>20</v>
      </c>
      <c r="D198" t="s">
        <v>24</v>
      </c>
      <c r="E198" t="s">
        <v>25</v>
      </c>
      <c r="F198" t="s">
        <v>36</v>
      </c>
      <c r="G198" t="s">
        <v>14</v>
      </c>
      <c r="H198">
        <v>23.23</v>
      </c>
      <c r="I198">
        <v>85</v>
      </c>
      <c r="J198">
        <v>1974.55</v>
      </c>
    </row>
    <row r="199" spans="1:10" x14ac:dyDescent="0.25">
      <c r="A199">
        <v>198</v>
      </c>
      <c r="B199" s="1">
        <v>45985</v>
      </c>
      <c r="C199" t="s">
        <v>37</v>
      </c>
      <c r="D199" t="s">
        <v>21</v>
      </c>
      <c r="E199" t="s">
        <v>35</v>
      </c>
      <c r="F199" t="s">
        <v>13</v>
      </c>
      <c r="G199" t="s">
        <v>14</v>
      </c>
      <c r="H199">
        <v>11.9</v>
      </c>
      <c r="I199">
        <v>34</v>
      </c>
      <c r="J199">
        <v>404.6</v>
      </c>
    </row>
    <row r="200" spans="1:10" x14ac:dyDescent="0.25">
      <c r="A200">
        <v>199</v>
      </c>
      <c r="B200" s="1">
        <v>45893</v>
      </c>
      <c r="C200" t="s">
        <v>15</v>
      </c>
      <c r="D200" t="s">
        <v>24</v>
      </c>
      <c r="E200" t="s">
        <v>34</v>
      </c>
      <c r="F200" t="s">
        <v>13</v>
      </c>
      <c r="G200" t="s">
        <v>32</v>
      </c>
      <c r="H200">
        <v>21.22</v>
      </c>
      <c r="I200">
        <v>97</v>
      </c>
      <c r="J200">
        <v>2058.34</v>
      </c>
    </row>
    <row r="201" spans="1:10" x14ac:dyDescent="0.25">
      <c r="A201">
        <v>200</v>
      </c>
      <c r="B201" s="1">
        <v>45959</v>
      </c>
      <c r="C201" t="s">
        <v>37</v>
      </c>
      <c r="D201" t="s">
        <v>28</v>
      </c>
      <c r="E201" t="s">
        <v>35</v>
      </c>
      <c r="F201" t="s">
        <v>13</v>
      </c>
      <c r="G201" t="s">
        <v>32</v>
      </c>
      <c r="H201">
        <v>11.51</v>
      </c>
      <c r="I201">
        <v>25</v>
      </c>
      <c r="J201">
        <v>287.75</v>
      </c>
    </row>
    <row r="202" spans="1:10" x14ac:dyDescent="0.25">
      <c r="A202">
        <v>201</v>
      </c>
      <c r="B202" s="1">
        <v>45744</v>
      </c>
      <c r="C202" t="s">
        <v>15</v>
      </c>
      <c r="D202" t="s">
        <v>16</v>
      </c>
      <c r="E202" t="s">
        <v>22</v>
      </c>
      <c r="F202" t="s">
        <v>13</v>
      </c>
      <c r="G202" t="s">
        <v>32</v>
      </c>
      <c r="H202">
        <v>4.22</v>
      </c>
      <c r="I202">
        <v>167</v>
      </c>
      <c r="J202">
        <v>704.74</v>
      </c>
    </row>
    <row r="203" spans="1:10" x14ac:dyDescent="0.25">
      <c r="A203">
        <v>202</v>
      </c>
      <c r="B203" s="1">
        <v>45837</v>
      </c>
      <c r="C203" t="s">
        <v>27</v>
      </c>
      <c r="D203" t="s">
        <v>11</v>
      </c>
      <c r="E203" t="s">
        <v>12</v>
      </c>
      <c r="F203" t="s">
        <v>18</v>
      </c>
      <c r="G203" t="s">
        <v>19</v>
      </c>
      <c r="H203">
        <v>18.87</v>
      </c>
      <c r="I203">
        <v>170</v>
      </c>
      <c r="J203">
        <v>3207.9</v>
      </c>
    </row>
    <row r="204" spans="1:10" x14ac:dyDescent="0.25">
      <c r="A204">
        <v>203</v>
      </c>
      <c r="B204" s="1">
        <v>45789</v>
      </c>
      <c r="C204" t="s">
        <v>23</v>
      </c>
      <c r="D204" t="s">
        <v>33</v>
      </c>
      <c r="E204" t="s">
        <v>34</v>
      </c>
      <c r="F204" t="s">
        <v>13</v>
      </c>
      <c r="G204" t="s">
        <v>14</v>
      </c>
      <c r="H204">
        <v>6.94</v>
      </c>
      <c r="I204">
        <v>159</v>
      </c>
      <c r="J204">
        <v>1103.46</v>
      </c>
    </row>
    <row r="205" spans="1:10" x14ac:dyDescent="0.25">
      <c r="A205">
        <v>204</v>
      </c>
      <c r="B205" s="1">
        <v>45910</v>
      </c>
      <c r="C205" t="s">
        <v>27</v>
      </c>
      <c r="D205" t="s">
        <v>16</v>
      </c>
      <c r="E205" t="s">
        <v>38</v>
      </c>
      <c r="F205" t="s">
        <v>26</v>
      </c>
      <c r="G205" t="s">
        <v>14</v>
      </c>
      <c r="H205">
        <v>12.94</v>
      </c>
      <c r="I205">
        <v>149</v>
      </c>
      <c r="J205">
        <v>1928.06</v>
      </c>
    </row>
    <row r="206" spans="1:10" x14ac:dyDescent="0.25">
      <c r="A206">
        <v>205</v>
      </c>
      <c r="B206" s="1">
        <v>45819</v>
      </c>
      <c r="C206" t="s">
        <v>37</v>
      </c>
      <c r="D206" t="s">
        <v>24</v>
      </c>
      <c r="E206" t="s">
        <v>29</v>
      </c>
      <c r="F206" t="s">
        <v>26</v>
      </c>
      <c r="G206" t="s">
        <v>14</v>
      </c>
      <c r="H206">
        <v>5.9</v>
      </c>
      <c r="I206">
        <v>22</v>
      </c>
      <c r="J206">
        <v>129.80000000000001</v>
      </c>
    </row>
    <row r="207" spans="1:10" x14ac:dyDescent="0.25">
      <c r="A207">
        <v>206</v>
      </c>
      <c r="B207" s="1">
        <v>45686</v>
      </c>
      <c r="C207" t="s">
        <v>10</v>
      </c>
      <c r="D207" t="s">
        <v>24</v>
      </c>
      <c r="E207" t="s">
        <v>38</v>
      </c>
      <c r="F207" t="s">
        <v>18</v>
      </c>
      <c r="G207" t="s">
        <v>19</v>
      </c>
      <c r="H207">
        <v>10.42</v>
      </c>
      <c r="I207">
        <v>23</v>
      </c>
      <c r="J207">
        <v>239.66</v>
      </c>
    </row>
    <row r="208" spans="1:10" x14ac:dyDescent="0.25">
      <c r="A208">
        <v>207</v>
      </c>
      <c r="B208" s="1">
        <v>45846</v>
      </c>
      <c r="C208" t="s">
        <v>30</v>
      </c>
      <c r="D208" t="s">
        <v>21</v>
      </c>
      <c r="E208" t="s">
        <v>25</v>
      </c>
      <c r="F208" t="s">
        <v>36</v>
      </c>
      <c r="G208" t="s">
        <v>32</v>
      </c>
      <c r="H208">
        <v>21.21</v>
      </c>
      <c r="I208">
        <v>24</v>
      </c>
      <c r="J208">
        <v>509.04</v>
      </c>
    </row>
    <row r="209" spans="1:10" x14ac:dyDescent="0.25">
      <c r="A209">
        <v>208</v>
      </c>
      <c r="B209" s="1">
        <v>45955</v>
      </c>
      <c r="C209" t="s">
        <v>15</v>
      </c>
      <c r="D209" t="s">
        <v>24</v>
      </c>
      <c r="E209" t="s">
        <v>25</v>
      </c>
      <c r="F209" t="s">
        <v>13</v>
      </c>
      <c r="G209" t="s">
        <v>32</v>
      </c>
      <c r="H209">
        <v>14.97</v>
      </c>
      <c r="I209">
        <v>194</v>
      </c>
      <c r="J209">
        <v>2904.18</v>
      </c>
    </row>
    <row r="210" spans="1:10" x14ac:dyDescent="0.25">
      <c r="A210">
        <v>209</v>
      </c>
      <c r="B210" s="1">
        <v>45967</v>
      </c>
      <c r="C210" t="s">
        <v>15</v>
      </c>
      <c r="D210" t="s">
        <v>24</v>
      </c>
      <c r="E210" t="s">
        <v>34</v>
      </c>
      <c r="F210" t="s">
        <v>26</v>
      </c>
      <c r="G210" t="s">
        <v>14</v>
      </c>
      <c r="H210">
        <v>13.2</v>
      </c>
      <c r="I210">
        <v>43</v>
      </c>
      <c r="J210">
        <v>567.6</v>
      </c>
    </row>
    <row r="211" spans="1:10" x14ac:dyDescent="0.25">
      <c r="A211">
        <v>210</v>
      </c>
      <c r="B211" s="1">
        <v>45701</v>
      </c>
      <c r="C211" t="s">
        <v>15</v>
      </c>
      <c r="D211" t="s">
        <v>11</v>
      </c>
      <c r="E211" t="s">
        <v>38</v>
      </c>
      <c r="F211" t="s">
        <v>36</v>
      </c>
      <c r="G211" t="s">
        <v>14</v>
      </c>
      <c r="H211">
        <v>13.85</v>
      </c>
      <c r="I211">
        <v>49</v>
      </c>
      <c r="J211">
        <v>678.65</v>
      </c>
    </row>
    <row r="212" spans="1:10" x14ac:dyDescent="0.25">
      <c r="A212">
        <v>211</v>
      </c>
      <c r="B212" s="1">
        <v>45925</v>
      </c>
      <c r="C212" t="s">
        <v>10</v>
      </c>
      <c r="D212" t="s">
        <v>28</v>
      </c>
      <c r="E212" t="s">
        <v>17</v>
      </c>
      <c r="F212" t="s">
        <v>36</v>
      </c>
      <c r="G212" t="s">
        <v>32</v>
      </c>
      <c r="H212">
        <v>16.22</v>
      </c>
      <c r="I212">
        <v>98</v>
      </c>
      <c r="J212">
        <v>1589.56</v>
      </c>
    </row>
    <row r="213" spans="1:10" x14ac:dyDescent="0.25">
      <c r="A213">
        <v>212</v>
      </c>
      <c r="B213" s="1">
        <v>46005</v>
      </c>
      <c r="C213" t="s">
        <v>30</v>
      </c>
      <c r="D213" t="s">
        <v>28</v>
      </c>
      <c r="E213" t="s">
        <v>34</v>
      </c>
      <c r="F213" t="s">
        <v>26</v>
      </c>
      <c r="G213" t="s">
        <v>19</v>
      </c>
      <c r="H213">
        <v>15.95</v>
      </c>
      <c r="I213">
        <v>166</v>
      </c>
      <c r="J213">
        <v>2647.7</v>
      </c>
    </row>
    <row r="214" spans="1:10" x14ac:dyDescent="0.25">
      <c r="A214">
        <v>213</v>
      </c>
      <c r="B214" s="1">
        <v>45943</v>
      </c>
      <c r="C214" t="s">
        <v>10</v>
      </c>
      <c r="D214" t="s">
        <v>33</v>
      </c>
      <c r="E214" t="s">
        <v>25</v>
      </c>
      <c r="F214" t="s">
        <v>13</v>
      </c>
      <c r="G214" t="s">
        <v>32</v>
      </c>
      <c r="H214">
        <v>17.760000000000002</v>
      </c>
      <c r="I214">
        <v>77</v>
      </c>
      <c r="J214">
        <v>1367.52</v>
      </c>
    </row>
    <row r="215" spans="1:10" x14ac:dyDescent="0.25">
      <c r="A215">
        <v>214</v>
      </c>
      <c r="B215" s="1">
        <v>45699</v>
      </c>
      <c r="C215" t="s">
        <v>10</v>
      </c>
      <c r="D215" t="s">
        <v>28</v>
      </c>
      <c r="E215" t="s">
        <v>17</v>
      </c>
      <c r="F215" t="s">
        <v>13</v>
      </c>
      <c r="G215" t="s">
        <v>14</v>
      </c>
      <c r="H215">
        <v>15.61</v>
      </c>
      <c r="I215">
        <v>41</v>
      </c>
      <c r="J215">
        <v>640.01</v>
      </c>
    </row>
    <row r="216" spans="1:10" x14ac:dyDescent="0.25">
      <c r="A216">
        <v>215</v>
      </c>
      <c r="B216" s="1">
        <v>46020</v>
      </c>
      <c r="C216" t="s">
        <v>20</v>
      </c>
      <c r="D216" t="s">
        <v>24</v>
      </c>
      <c r="E216" t="s">
        <v>35</v>
      </c>
      <c r="F216" t="s">
        <v>13</v>
      </c>
      <c r="G216" t="s">
        <v>14</v>
      </c>
      <c r="H216">
        <v>23.61</v>
      </c>
      <c r="I216">
        <v>84</v>
      </c>
      <c r="J216">
        <v>1983.24</v>
      </c>
    </row>
    <row r="217" spans="1:10" x14ac:dyDescent="0.25">
      <c r="A217">
        <v>216</v>
      </c>
      <c r="B217" s="1">
        <v>46017</v>
      </c>
      <c r="C217" t="s">
        <v>30</v>
      </c>
      <c r="D217" t="s">
        <v>16</v>
      </c>
      <c r="E217" t="s">
        <v>34</v>
      </c>
      <c r="F217" t="s">
        <v>36</v>
      </c>
      <c r="G217" t="s">
        <v>14</v>
      </c>
      <c r="H217">
        <v>21.15</v>
      </c>
      <c r="I217">
        <v>194</v>
      </c>
      <c r="J217">
        <v>4103.1000000000004</v>
      </c>
    </row>
    <row r="218" spans="1:10" x14ac:dyDescent="0.25">
      <c r="A218">
        <v>217</v>
      </c>
      <c r="B218" s="1">
        <v>45843</v>
      </c>
      <c r="C218" t="s">
        <v>23</v>
      </c>
      <c r="D218" t="s">
        <v>11</v>
      </c>
      <c r="E218" t="s">
        <v>35</v>
      </c>
      <c r="F218" t="s">
        <v>36</v>
      </c>
      <c r="G218" t="s">
        <v>19</v>
      </c>
      <c r="H218">
        <v>2.91</v>
      </c>
      <c r="I218">
        <v>84</v>
      </c>
      <c r="J218">
        <v>244.44</v>
      </c>
    </row>
    <row r="219" spans="1:10" x14ac:dyDescent="0.25">
      <c r="A219">
        <v>218</v>
      </c>
      <c r="B219" s="1">
        <v>45773</v>
      </c>
      <c r="C219" t="s">
        <v>15</v>
      </c>
      <c r="D219" t="s">
        <v>28</v>
      </c>
      <c r="E219" t="s">
        <v>34</v>
      </c>
      <c r="F219" t="s">
        <v>18</v>
      </c>
      <c r="G219" t="s">
        <v>14</v>
      </c>
      <c r="H219">
        <v>25</v>
      </c>
      <c r="I219">
        <v>44</v>
      </c>
      <c r="J219">
        <v>1100</v>
      </c>
    </row>
    <row r="220" spans="1:10" x14ac:dyDescent="0.25">
      <c r="A220">
        <v>219</v>
      </c>
      <c r="B220" s="1">
        <v>45830</v>
      </c>
      <c r="C220" t="s">
        <v>23</v>
      </c>
      <c r="D220" t="s">
        <v>16</v>
      </c>
      <c r="E220" t="s">
        <v>17</v>
      </c>
      <c r="F220" t="s">
        <v>13</v>
      </c>
      <c r="G220" t="s">
        <v>19</v>
      </c>
      <c r="H220">
        <v>22.22</v>
      </c>
      <c r="I220">
        <v>163</v>
      </c>
      <c r="J220">
        <v>3621.86</v>
      </c>
    </row>
    <row r="221" spans="1:10" x14ac:dyDescent="0.25">
      <c r="A221">
        <v>220</v>
      </c>
      <c r="B221" s="1">
        <v>45750</v>
      </c>
      <c r="C221" t="s">
        <v>27</v>
      </c>
      <c r="D221" t="s">
        <v>11</v>
      </c>
      <c r="E221" t="s">
        <v>38</v>
      </c>
      <c r="F221" t="s">
        <v>18</v>
      </c>
      <c r="G221" t="s">
        <v>32</v>
      </c>
      <c r="H221">
        <v>21.21</v>
      </c>
      <c r="I221">
        <v>164</v>
      </c>
      <c r="J221">
        <v>3478.44</v>
      </c>
    </row>
    <row r="222" spans="1:10" x14ac:dyDescent="0.25">
      <c r="A222">
        <v>221</v>
      </c>
      <c r="B222" s="1">
        <v>45844</v>
      </c>
      <c r="C222" t="s">
        <v>37</v>
      </c>
      <c r="D222" t="s">
        <v>16</v>
      </c>
      <c r="E222" t="s">
        <v>29</v>
      </c>
      <c r="F222" t="s">
        <v>36</v>
      </c>
      <c r="G222" t="s">
        <v>19</v>
      </c>
      <c r="H222">
        <v>17.72</v>
      </c>
      <c r="I222">
        <v>65</v>
      </c>
      <c r="J222">
        <v>1151.8</v>
      </c>
    </row>
    <row r="223" spans="1:10" x14ac:dyDescent="0.25">
      <c r="A223">
        <v>222</v>
      </c>
      <c r="B223" s="1">
        <v>45931</v>
      </c>
      <c r="C223" t="s">
        <v>27</v>
      </c>
      <c r="D223" t="s">
        <v>11</v>
      </c>
      <c r="E223" t="s">
        <v>35</v>
      </c>
      <c r="F223" t="s">
        <v>36</v>
      </c>
      <c r="G223" t="s">
        <v>32</v>
      </c>
      <c r="H223">
        <v>7.88</v>
      </c>
      <c r="I223">
        <v>125</v>
      </c>
      <c r="J223">
        <v>985</v>
      </c>
    </row>
    <row r="224" spans="1:10" x14ac:dyDescent="0.25">
      <c r="A224">
        <v>223</v>
      </c>
      <c r="B224" s="1">
        <v>45802</v>
      </c>
      <c r="C224" t="s">
        <v>20</v>
      </c>
      <c r="D224" t="s">
        <v>24</v>
      </c>
      <c r="E224" t="s">
        <v>31</v>
      </c>
      <c r="F224" t="s">
        <v>13</v>
      </c>
      <c r="G224" t="s">
        <v>14</v>
      </c>
      <c r="H224">
        <v>20.010000000000002</v>
      </c>
      <c r="I224">
        <v>133</v>
      </c>
      <c r="J224">
        <v>2661.33</v>
      </c>
    </row>
    <row r="225" spans="1:10" x14ac:dyDescent="0.25">
      <c r="A225">
        <v>224</v>
      </c>
      <c r="B225" s="1">
        <v>45728</v>
      </c>
      <c r="C225" t="s">
        <v>30</v>
      </c>
      <c r="D225" t="s">
        <v>24</v>
      </c>
      <c r="E225" t="s">
        <v>35</v>
      </c>
      <c r="F225" t="s">
        <v>18</v>
      </c>
      <c r="G225" t="s">
        <v>14</v>
      </c>
      <c r="H225">
        <v>22.14</v>
      </c>
      <c r="I225">
        <v>18</v>
      </c>
      <c r="J225">
        <v>398.52</v>
      </c>
    </row>
    <row r="226" spans="1:10" x14ac:dyDescent="0.25">
      <c r="A226">
        <v>225</v>
      </c>
      <c r="B226" s="1">
        <v>45922</v>
      </c>
      <c r="C226" t="s">
        <v>15</v>
      </c>
      <c r="D226" t="s">
        <v>11</v>
      </c>
      <c r="E226" t="s">
        <v>29</v>
      </c>
      <c r="F226" t="s">
        <v>36</v>
      </c>
      <c r="G226" t="s">
        <v>14</v>
      </c>
      <c r="H226">
        <v>21.65</v>
      </c>
      <c r="I226">
        <v>77</v>
      </c>
      <c r="J226">
        <v>1667.05</v>
      </c>
    </row>
    <row r="227" spans="1:10" x14ac:dyDescent="0.25">
      <c r="A227">
        <v>226</v>
      </c>
      <c r="B227" s="1">
        <v>45733</v>
      </c>
      <c r="C227" t="s">
        <v>23</v>
      </c>
      <c r="D227" t="s">
        <v>24</v>
      </c>
      <c r="E227" t="s">
        <v>35</v>
      </c>
      <c r="F227" t="s">
        <v>18</v>
      </c>
      <c r="G227" t="s">
        <v>32</v>
      </c>
      <c r="H227">
        <v>21.2</v>
      </c>
      <c r="I227">
        <v>28</v>
      </c>
      <c r="J227">
        <v>593.6</v>
      </c>
    </row>
    <row r="228" spans="1:10" x14ac:dyDescent="0.25">
      <c r="A228">
        <v>227</v>
      </c>
      <c r="B228" s="1">
        <v>45685</v>
      </c>
      <c r="C228" t="s">
        <v>23</v>
      </c>
      <c r="D228" t="s">
        <v>24</v>
      </c>
      <c r="E228" t="s">
        <v>34</v>
      </c>
      <c r="F228" t="s">
        <v>26</v>
      </c>
      <c r="G228" t="s">
        <v>19</v>
      </c>
      <c r="H228">
        <v>11.42</v>
      </c>
      <c r="I228">
        <v>100</v>
      </c>
      <c r="J228">
        <v>1142</v>
      </c>
    </row>
    <row r="229" spans="1:10" x14ac:dyDescent="0.25">
      <c r="A229">
        <v>228</v>
      </c>
      <c r="B229" s="1">
        <v>45672</v>
      </c>
      <c r="C229" t="s">
        <v>27</v>
      </c>
      <c r="D229" t="s">
        <v>33</v>
      </c>
      <c r="E229" t="s">
        <v>35</v>
      </c>
      <c r="F229" t="s">
        <v>13</v>
      </c>
      <c r="G229" t="s">
        <v>19</v>
      </c>
      <c r="H229">
        <v>9.67</v>
      </c>
      <c r="I229">
        <v>30</v>
      </c>
      <c r="J229">
        <v>290.10000000000002</v>
      </c>
    </row>
    <row r="230" spans="1:10" x14ac:dyDescent="0.25">
      <c r="A230">
        <v>229</v>
      </c>
      <c r="B230" s="1">
        <v>45677</v>
      </c>
      <c r="C230" t="s">
        <v>30</v>
      </c>
      <c r="D230" t="s">
        <v>11</v>
      </c>
      <c r="E230" t="s">
        <v>38</v>
      </c>
      <c r="F230" t="s">
        <v>36</v>
      </c>
      <c r="G230" t="s">
        <v>14</v>
      </c>
      <c r="H230">
        <v>8.9499999999999993</v>
      </c>
      <c r="I230">
        <v>125</v>
      </c>
      <c r="J230">
        <v>1118.75</v>
      </c>
    </row>
    <row r="231" spans="1:10" x14ac:dyDescent="0.25">
      <c r="A231">
        <v>230</v>
      </c>
      <c r="B231" s="1">
        <v>45660</v>
      </c>
      <c r="C231" t="s">
        <v>10</v>
      </c>
      <c r="D231" t="s">
        <v>11</v>
      </c>
      <c r="E231" t="s">
        <v>31</v>
      </c>
      <c r="F231" t="s">
        <v>36</v>
      </c>
      <c r="G231" t="s">
        <v>19</v>
      </c>
      <c r="H231">
        <v>22.88</v>
      </c>
      <c r="I231">
        <v>9</v>
      </c>
      <c r="J231">
        <v>205.92</v>
      </c>
    </row>
    <row r="232" spans="1:10" x14ac:dyDescent="0.25">
      <c r="A232">
        <v>231</v>
      </c>
      <c r="B232" s="1">
        <v>45805</v>
      </c>
      <c r="C232" t="s">
        <v>15</v>
      </c>
      <c r="D232" t="s">
        <v>11</v>
      </c>
      <c r="E232" t="s">
        <v>17</v>
      </c>
      <c r="F232" t="s">
        <v>36</v>
      </c>
      <c r="G232" t="s">
        <v>19</v>
      </c>
      <c r="H232">
        <v>7.85</v>
      </c>
      <c r="I232">
        <v>36</v>
      </c>
      <c r="J232">
        <v>282.60000000000002</v>
      </c>
    </row>
    <row r="233" spans="1:10" x14ac:dyDescent="0.25">
      <c r="A233">
        <v>232</v>
      </c>
      <c r="B233" s="1">
        <v>45714</v>
      </c>
      <c r="C233" t="s">
        <v>20</v>
      </c>
      <c r="D233" t="s">
        <v>16</v>
      </c>
      <c r="E233" t="s">
        <v>39</v>
      </c>
      <c r="F233" t="s">
        <v>13</v>
      </c>
      <c r="G233" t="s">
        <v>14</v>
      </c>
      <c r="H233">
        <v>21.33</v>
      </c>
      <c r="I233">
        <v>132</v>
      </c>
      <c r="J233">
        <v>2815.56</v>
      </c>
    </row>
    <row r="234" spans="1:10" x14ac:dyDescent="0.25">
      <c r="A234">
        <v>233</v>
      </c>
      <c r="B234" s="1">
        <v>45731</v>
      </c>
      <c r="C234" t="s">
        <v>20</v>
      </c>
      <c r="D234" t="s">
        <v>28</v>
      </c>
      <c r="E234" t="s">
        <v>12</v>
      </c>
      <c r="F234" t="s">
        <v>36</v>
      </c>
      <c r="G234" t="s">
        <v>19</v>
      </c>
      <c r="H234">
        <v>9.0500000000000007</v>
      </c>
      <c r="I234">
        <v>5</v>
      </c>
      <c r="J234">
        <v>45.25</v>
      </c>
    </row>
    <row r="235" spans="1:10" x14ac:dyDescent="0.25">
      <c r="A235">
        <v>234</v>
      </c>
      <c r="B235" s="1">
        <v>45998</v>
      </c>
      <c r="C235" t="s">
        <v>10</v>
      </c>
      <c r="D235" t="s">
        <v>21</v>
      </c>
      <c r="E235" t="s">
        <v>22</v>
      </c>
      <c r="F235" t="s">
        <v>18</v>
      </c>
      <c r="G235" t="s">
        <v>32</v>
      </c>
      <c r="H235">
        <v>17.53</v>
      </c>
      <c r="I235">
        <v>139</v>
      </c>
      <c r="J235">
        <v>2436.67</v>
      </c>
    </row>
    <row r="236" spans="1:10" x14ac:dyDescent="0.25">
      <c r="A236">
        <v>235</v>
      </c>
      <c r="B236" s="1">
        <v>45898</v>
      </c>
      <c r="C236" t="s">
        <v>10</v>
      </c>
      <c r="D236" t="s">
        <v>28</v>
      </c>
      <c r="E236" t="s">
        <v>39</v>
      </c>
      <c r="F236" t="s">
        <v>26</v>
      </c>
      <c r="G236" t="s">
        <v>19</v>
      </c>
      <c r="H236">
        <v>3.48</v>
      </c>
      <c r="I236">
        <v>104</v>
      </c>
      <c r="J236">
        <v>361.92</v>
      </c>
    </row>
    <row r="237" spans="1:10" x14ac:dyDescent="0.25">
      <c r="A237">
        <v>236</v>
      </c>
      <c r="B237" s="1">
        <v>45834</v>
      </c>
      <c r="C237" t="s">
        <v>30</v>
      </c>
      <c r="D237" t="s">
        <v>21</v>
      </c>
      <c r="E237" t="s">
        <v>25</v>
      </c>
      <c r="F237" t="s">
        <v>26</v>
      </c>
      <c r="G237" t="s">
        <v>19</v>
      </c>
      <c r="H237">
        <v>7.93</v>
      </c>
      <c r="I237">
        <v>173</v>
      </c>
      <c r="J237">
        <v>1371.89</v>
      </c>
    </row>
    <row r="238" spans="1:10" x14ac:dyDescent="0.25">
      <c r="A238">
        <v>237</v>
      </c>
      <c r="B238" s="1">
        <v>45680</v>
      </c>
      <c r="C238" t="s">
        <v>27</v>
      </c>
      <c r="D238" t="s">
        <v>33</v>
      </c>
      <c r="E238" t="s">
        <v>31</v>
      </c>
      <c r="F238" t="s">
        <v>36</v>
      </c>
      <c r="G238" t="s">
        <v>14</v>
      </c>
      <c r="H238">
        <v>10.43</v>
      </c>
      <c r="I238">
        <v>91</v>
      </c>
      <c r="J238">
        <v>949.13</v>
      </c>
    </row>
    <row r="239" spans="1:10" x14ac:dyDescent="0.25">
      <c r="A239">
        <v>238</v>
      </c>
      <c r="B239" s="1">
        <v>45903</v>
      </c>
      <c r="C239" t="s">
        <v>15</v>
      </c>
      <c r="D239" t="s">
        <v>33</v>
      </c>
      <c r="E239" t="s">
        <v>38</v>
      </c>
      <c r="F239" t="s">
        <v>18</v>
      </c>
      <c r="G239" t="s">
        <v>32</v>
      </c>
      <c r="H239">
        <v>16.71</v>
      </c>
      <c r="I239">
        <v>39</v>
      </c>
      <c r="J239">
        <v>651.69000000000005</v>
      </c>
    </row>
    <row r="240" spans="1:10" x14ac:dyDescent="0.25">
      <c r="A240">
        <v>239</v>
      </c>
      <c r="B240" s="1">
        <v>45761</v>
      </c>
      <c r="C240" t="s">
        <v>15</v>
      </c>
      <c r="D240" t="s">
        <v>28</v>
      </c>
      <c r="E240" t="s">
        <v>29</v>
      </c>
      <c r="F240" t="s">
        <v>36</v>
      </c>
      <c r="G240" t="s">
        <v>14</v>
      </c>
      <c r="H240">
        <v>3.49</v>
      </c>
      <c r="I240">
        <v>56</v>
      </c>
      <c r="J240">
        <v>195.44</v>
      </c>
    </row>
    <row r="241" spans="1:10" x14ac:dyDescent="0.25">
      <c r="A241">
        <v>240</v>
      </c>
      <c r="B241" s="1">
        <v>45900</v>
      </c>
      <c r="C241" t="s">
        <v>30</v>
      </c>
      <c r="D241" t="s">
        <v>11</v>
      </c>
      <c r="E241" t="s">
        <v>29</v>
      </c>
      <c r="F241" t="s">
        <v>26</v>
      </c>
      <c r="G241" t="s">
        <v>19</v>
      </c>
      <c r="H241">
        <v>8.1999999999999993</v>
      </c>
      <c r="I241">
        <v>197</v>
      </c>
      <c r="J241">
        <v>1615.4</v>
      </c>
    </row>
    <row r="242" spans="1:10" x14ac:dyDescent="0.25">
      <c r="A242">
        <v>241</v>
      </c>
      <c r="B242" s="1">
        <v>45993</v>
      </c>
      <c r="C242" t="s">
        <v>27</v>
      </c>
      <c r="D242" t="s">
        <v>28</v>
      </c>
      <c r="E242" t="s">
        <v>17</v>
      </c>
      <c r="F242" t="s">
        <v>36</v>
      </c>
      <c r="G242" t="s">
        <v>14</v>
      </c>
      <c r="H242">
        <v>9.9700000000000006</v>
      </c>
      <c r="I242">
        <v>36</v>
      </c>
      <c r="J242">
        <v>358.92</v>
      </c>
    </row>
    <row r="243" spans="1:10" x14ac:dyDescent="0.25">
      <c r="A243">
        <v>242</v>
      </c>
      <c r="B243" s="1">
        <v>45883</v>
      </c>
      <c r="C243" t="s">
        <v>10</v>
      </c>
      <c r="D243" t="s">
        <v>11</v>
      </c>
      <c r="E243" t="s">
        <v>38</v>
      </c>
      <c r="F243" t="s">
        <v>36</v>
      </c>
      <c r="G243" t="s">
        <v>32</v>
      </c>
      <c r="H243">
        <v>22.63</v>
      </c>
      <c r="I243">
        <v>103</v>
      </c>
      <c r="J243">
        <v>2330.89</v>
      </c>
    </row>
    <row r="244" spans="1:10" x14ac:dyDescent="0.25">
      <c r="A244">
        <v>243</v>
      </c>
      <c r="B244" s="1">
        <v>45923</v>
      </c>
      <c r="C244" t="s">
        <v>30</v>
      </c>
      <c r="D244" t="s">
        <v>24</v>
      </c>
      <c r="E244" t="s">
        <v>34</v>
      </c>
      <c r="F244" t="s">
        <v>36</v>
      </c>
      <c r="G244" t="s">
        <v>14</v>
      </c>
      <c r="H244">
        <v>8.5</v>
      </c>
      <c r="I244">
        <v>26</v>
      </c>
      <c r="J244">
        <v>221</v>
      </c>
    </row>
    <row r="245" spans="1:10" x14ac:dyDescent="0.25">
      <c r="A245">
        <v>244</v>
      </c>
      <c r="B245" s="1">
        <v>45750</v>
      </c>
      <c r="C245" t="s">
        <v>15</v>
      </c>
      <c r="D245" t="s">
        <v>21</v>
      </c>
      <c r="E245" t="s">
        <v>35</v>
      </c>
      <c r="F245" t="s">
        <v>26</v>
      </c>
      <c r="G245" t="s">
        <v>32</v>
      </c>
      <c r="H245">
        <v>14.77</v>
      </c>
      <c r="I245">
        <v>87</v>
      </c>
      <c r="J245">
        <v>1284.99</v>
      </c>
    </row>
    <row r="246" spans="1:10" x14ac:dyDescent="0.25">
      <c r="A246">
        <v>245</v>
      </c>
      <c r="B246" s="1">
        <v>45886</v>
      </c>
      <c r="C246" t="s">
        <v>23</v>
      </c>
      <c r="D246" t="s">
        <v>33</v>
      </c>
      <c r="E246" t="s">
        <v>38</v>
      </c>
      <c r="F246" t="s">
        <v>26</v>
      </c>
      <c r="G246" t="s">
        <v>32</v>
      </c>
      <c r="H246">
        <v>16.059999999999999</v>
      </c>
      <c r="I246">
        <v>114</v>
      </c>
      <c r="J246">
        <v>1830.84</v>
      </c>
    </row>
    <row r="247" spans="1:10" x14ac:dyDescent="0.25">
      <c r="A247">
        <v>246</v>
      </c>
      <c r="B247" s="1">
        <v>45679</v>
      </c>
      <c r="C247" t="s">
        <v>20</v>
      </c>
      <c r="D247" t="s">
        <v>24</v>
      </c>
      <c r="E247" t="s">
        <v>29</v>
      </c>
      <c r="F247" t="s">
        <v>18</v>
      </c>
      <c r="G247" t="s">
        <v>19</v>
      </c>
      <c r="H247">
        <v>18.850000000000001</v>
      </c>
      <c r="I247">
        <v>95</v>
      </c>
      <c r="J247">
        <v>1790.75</v>
      </c>
    </row>
    <row r="248" spans="1:10" x14ac:dyDescent="0.25">
      <c r="A248">
        <v>247</v>
      </c>
      <c r="B248" s="1">
        <v>46001</v>
      </c>
      <c r="C248" t="s">
        <v>20</v>
      </c>
      <c r="D248" t="s">
        <v>33</v>
      </c>
      <c r="E248" t="s">
        <v>31</v>
      </c>
      <c r="F248" t="s">
        <v>18</v>
      </c>
      <c r="G248" t="s">
        <v>19</v>
      </c>
      <c r="H248">
        <v>16.84</v>
      </c>
      <c r="I248">
        <v>98</v>
      </c>
      <c r="J248">
        <v>1650.32</v>
      </c>
    </row>
    <row r="249" spans="1:10" x14ac:dyDescent="0.25">
      <c r="A249">
        <v>248</v>
      </c>
      <c r="B249" s="1">
        <v>45969</v>
      </c>
      <c r="C249" t="s">
        <v>15</v>
      </c>
      <c r="D249" t="s">
        <v>11</v>
      </c>
      <c r="E249" t="s">
        <v>34</v>
      </c>
      <c r="F249" t="s">
        <v>13</v>
      </c>
      <c r="G249" t="s">
        <v>14</v>
      </c>
      <c r="H249">
        <v>17.760000000000002</v>
      </c>
      <c r="I249">
        <v>117</v>
      </c>
      <c r="J249">
        <v>2077.92</v>
      </c>
    </row>
    <row r="250" spans="1:10" x14ac:dyDescent="0.25">
      <c r="A250">
        <v>249</v>
      </c>
      <c r="B250" s="1">
        <v>45845</v>
      </c>
      <c r="C250" t="s">
        <v>15</v>
      </c>
      <c r="D250" t="s">
        <v>16</v>
      </c>
      <c r="E250" t="s">
        <v>31</v>
      </c>
      <c r="F250" t="s">
        <v>36</v>
      </c>
      <c r="G250" t="s">
        <v>32</v>
      </c>
      <c r="H250">
        <v>10.65</v>
      </c>
      <c r="I250">
        <v>150</v>
      </c>
      <c r="J250">
        <v>1597.5</v>
      </c>
    </row>
    <row r="251" spans="1:10" x14ac:dyDescent="0.25">
      <c r="A251">
        <v>250</v>
      </c>
      <c r="B251" s="1">
        <v>45848</v>
      </c>
      <c r="C251" t="s">
        <v>20</v>
      </c>
      <c r="D251" t="s">
        <v>11</v>
      </c>
      <c r="E251" t="s">
        <v>22</v>
      </c>
      <c r="F251" t="s">
        <v>26</v>
      </c>
      <c r="G251" t="s">
        <v>32</v>
      </c>
      <c r="H251">
        <v>12.49</v>
      </c>
      <c r="I251">
        <v>24</v>
      </c>
      <c r="J251">
        <v>299.76</v>
      </c>
    </row>
    <row r="252" spans="1:10" x14ac:dyDescent="0.25">
      <c r="A252">
        <v>251</v>
      </c>
      <c r="B252" s="1">
        <v>45818</v>
      </c>
      <c r="C252" t="s">
        <v>15</v>
      </c>
      <c r="D252" t="s">
        <v>21</v>
      </c>
      <c r="E252" t="s">
        <v>31</v>
      </c>
      <c r="F252" t="s">
        <v>36</v>
      </c>
      <c r="G252" t="s">
        <v>14</v>
      </c>
      <c r="H252">
        <v>17.12</v>
      </c>
      <c r="I252">
        <v>68</v>
      </c>
      <c r="J252">
        <v>1164.1600000000001</v>
      </c>
    </row>
    <row r="253" spans="1:10" x14ac:dyDescent="0.25">
      <c r="A253">
        <v>252</v>
      </c>
      <c r="B253" s="1">
        <v>45856</v>
      </c>
      <c r="C253" t="s">
        <v>10</v>
      </c>
      <c r="D253" t="s">
        <v>28</v>
      </c>
      <c r="E253" t="s">
        <v>38</v>
      </c>
      <c r="F253" t="s">
        <v>13</v>
      </c>
      <c r="G253" t="s">
        <v>14</v>
      </c>
      <c r="H253">
        <v>23.05</v>
      </c>
      <c r="I253">
        <v>35</v>
      </c>
      <c r="J253">
        <v>806.75</v>
      </c>
    </row>
    <row r="254" spans="1:10" x14ac:dyDescent="0.25">
      <c r="A254">
        <v>253</v>
      </c>
      <c r="B254" s="1">
        <v>45804</v>
      </c>
      <c r="C254" t="s">
        <v>23</v>
      </c>
      <c r="D254" t="s">
        <v>21</v>
      </c>
      <c r="E254" t="s">
        <v>31</v>
      </c>
      <c r="F254" t="s">
        <v>18</v>
      </c>
      <c r="G254" t="s">
        <v>32</v>
      </c>
      <c r="H254">
        <v>18.11</v>
      </c>
      <c r="I254">
        <v>130</v>
      </c>
      <c r="J254">
        <v>2354.3000000000002</v>
      </c>
    </row>
    <row r="255" spans="1:10" x14ac:dyDescent="0.25">
      <c r="A255">
        <v>254</v>
      </c>
      <c r="B255" s="1">
        <v>45746</v>
      </c>
      <c r="C255" t="s">
        <v>15</v>
      </c>
      <c r="D255" t="s">
        <v>33</v>
      </c>
      <c r="E255" t="s">
        <v>35</v>
      </c>
      <c r="F255" t="s">
        <v>26</v>
      </c>
      <c r="G255" t="s">
        <v>14</v>
      </c>
      <c r="H255">
        <v>22.72</v>
      </c>
      <c r="I255">
        <v>118</v>
      </c>
      <c r="J255">
        <v>2680.96</v>
      </c>
    </row>
    <row r="256" spans="1:10" x14ac:dyDescent="0.25">
      <c r="A256">
        <v>255</v>
      </c>
      <c r="B256" s="1">
        <v>45691</v>
      </c>
      <c r="C256" t="s">
        <v>10</v>
      </c>
      <c r="D256" t="s">
        <v>11</v>
      </c>
      <c r="E256" t="s">
        <v>31</v>
      </c>
      <c r="F256" t="s">
        <v>26</v>
      </c>
      <c r="G256" t="s">
        <v>14</v>
      </c>
      <c r="H256">
        <v>14.87</v>
      </c>
      <c r="I256">
        <v>79</v>
      </c>
      <c r="J256">
        <v>1174.73</v>
      </c>
    </row>
    <row r="257" spans="1:10" x14ac:dyDescent="0.25">
      <c r="A257">
        <v>256</v>
      </c>
      <c r="B257" s="1">
        <v>45772</v>
      </c>
      <c r="C257" t="s">
        <v>27</v>
      </c>
      <c r="D257" t="s">
        <v>11</v>
      </c>
      <c r="E257" t="s">
        <v>12</v>
      </c>
      <c r="F257" t="s">
        <v>36</v>
      </c>
      <c r="G257" t="s">
        <v>19</v>
      </c>
      <c r="H257">
        <v>5.23</v>
      </c>
      <c r="I257">
        <v>56</v>
      </c>
      <c r="J257">
        <v>292.88</v>
      </c>
    </row>
    <row r="258" spans="1:10" x14ac:dyDescent="0.25">
      <c r="A258">
        <v>257</v>
      </c>
      <c r="B258" s="1">
        <v>45842</v>
      </c>
      <c r="C258" t="s">
        <v>37</v>
      </c>
      <c r="D258" t="s">
        <v>16</v>
      </c>
      <c r="E258" t="s">
        <v>31</v>
      </c>
      <c r="F258" t="s">
        <v>18</v>
      </c>
      <c r="G258" t="s">
        <v>19</v>
      </c>
      <c r="H258">
        <v>14.97</v>
      </c>
      <c r="I258">
        <v>99</v>
      </c>
      <c r="J258">
        <v>1482.03</v>
      </c>
    </row>
    <row r="259" spans="1:10" x14ac:dyDescent="0.25">
      <c r="A259">
        <v>258</v>
      </c>
      <c r="B259" s="1">
        <v>45816</v>
      </c>
      <c r="C259" t="s">
        <v>30</v>
      </c>
      <c r="D259" t="s">
        <v>24</v>
      </c>
      <c r="E259" t="s">
        <v>22</v>
      </c>
      <c r="F259" t="s">
        <v>36</v>
      </c>
      <c r="G259" t="s">
        <v>32</v>
      </c>
      <c r="H259">
        <v>11.46</v>
      </c>
      <c r="I259">
        <v>188</v>
      </c>
      <c r="J259">
        <v>2154.48</v>
      </c>
    </row>
    <row r="260" spans="1:10" x14ac:dyDescent="0.25">
      <c r="A260">
        <v>259</v>
      </c>
      <c r="B260" s="1">
        <v>45952</v>
      </c>
      <c r="C260" t="s">
        <v>30</v>
      </c>
      <c r="D260" t="s">
        <v>21</v>
      </c>
      <c r="E260" t="s">
        <v>38</v>
      </c>
      <c r="F260" t="s">
        <v>36</v>
      </c>
      <c r="G260" t="s">
        <v>14</v>
      </c>
      <c r="H260">
        <v>4.16</v>
      </c>
      <c r="I260">
        <v>86</v>
      </c>
      <c r="J260">
        <v>357.76</v>
      </c>
    </row>
    <row r="261" spans="1:10" x14ac:dyDescent="0.25">
      <c r="A261">
        <v>260</v>
      </c>
      <c r="B261" s="1">
        <v>45922</v>
      </c>
      <c r="C261" t="s">
        <v>30</v>
      </c>
      <c r="D261" t="s">
        <v>16</v>
      </c>
      <c r="E261" t="s">
        <v>31</v>
      </c>
      <c r="F261" t="s">
        <v>13</v>
      </c>
      <c r="G261" t="s">
        <v>32</v>
      </c>
      <c r="H261">
        <v>10.25</v>
      </c>
      <c r="I261">
        <v>146</v>
      </c>
      <c r="J261">
        <v>1496.5</v>
      </c>
    </row>
    <row r="262" spans="1:10" x14ac:dyDescent="0.25">
      <c r="A262">
        <v>261</v>
      </c>
      <c r="B262" s="1">
        <v>45915</v>
      </c>
      <c r="C262" t="s">
        <v>27</v>
      </c>
      <c r="D262" t="s">
        <v>21</v>
      </c>
      <c r="E262" t="s">
        <v>22</v>
      </c>
      <c r="F262" t="s">
        <v>13</v>
      </c>
      <c r="G262" t="s">
        <v>32</v>
      </c>
      <c r="H262">
        <v>22.99</v>
      </c>
      <c r="I262">
        <v>19</v>
      </c>
      <c r="J262">
        <v>436.81</v>
      </c>
    </row>
    <row r="263" spans="1:10" x14ac:dyDescent="0.25">
      <c r="A263">
        <v>262</v>
      </c>
      <c r="B263" s="1">
        <v>45742</v>
      </c>
      <c r="C263" t="s">
        <v>23</v>
      </c>
      <c r="D263" t="s">
        <v>28</v>
      </c>
      <c r="E263" t="s">
        <v>22</v>
      </c>
      <c r="F263" t="s">
        <v>26</v>
      </c>
      <c r="G263" t="s">
        <v>19</v>
      </c>
      <c r="H263">
        <v>6.14</v>
      </c>
      <c r="I263">
        <v>186</v>
      </c>
      <c r="J263">
        <v>1142.04</v>
      </c>
    </row>
    <row r="264" spans="1:10" x14ac:dyDescent="0.25">
      <c r="A264">
        <v>263</v>
      </c>
      <c r="B264" s="1">
        <v>45786</v>
      </c>
      <c r="C264" t="s">
        <v>10</v>
      </c>
      <c r="D264" t="s">
        <v>11</v>
      </c>
      <c r="E264" t="s">
        <v>29</v>
      </c>
      <c r="F264" t="s">
        <v>18</v>
      </c>
      <c r="G264" t="s">
        <v>14</v>
      </c>
      <c r="H264">
        <v>6.92</v>
      </c>
      <c r="I264">
        <v>146</v>
      </c>
      <c r="J264">
        <v>1010.32</v>
      </c>
    </row>
    <row r="265" spans="1:10" x14ac:dyDescent="0.25">
      <c r="A265">
        <v>264</v>
      </c>
      <c r="B265" s="1">
        <v>45986</v>
      </c>
      <c r="C265" t="s">
        <v>23</v>
      </c>
      <c r="D265" t="s">
        <v>11</v>
      </c>
      <c r="E265" t="s">
        <v>25</v>
      </c>
      <c r="F265" t="s">
        <v>26</v>
      </c>
      <c r="G265" t="s">
        <v>14</v>
      </c>
      <c r="H265">
        <v>6.29</v>
      </c>
      <c r="I265">
        <v>153</v>
      </c>
      <c r="J265">
        <v>962.37</v>
      </c>
    </row>
    <row r="266" spans="1:10" x14ac:dyDescent="0.25">
      <c r="A266">
        <v>265</v>
      </c>
      <c r="B266" s="1">
        <v>45679</v>
      </c>
      <c r="C266" t="s">
        <v>15</v>
      </c>
      <c r="D266" t="s">
        <v>21</v>
      </c>
      <c r="E266" t="s">
        <v>25</v>
      </c>
      <c r="F266" t="s">
        <v>26</v>
      </c>
      <c r="G266" t="s">
        <v>14</v>
      </c>
      <c r="H266">
        <v>21.07</v>
      </c>
      <c r="I266">
        <v>12</v>
      </c>
      <c r="J266">
        <v>252.84</v>
      </c>
    </row>
    <row r="267" spans="1:10" x14ac:dyDescent="0.25">
      <c r="A267">
        <v>266</v>
      </c>
      <c r="B267" s="1">
        <v>45765</v>
      </c>
      <c r="C267" t="s">
        <v>20</v>
      </c>
      <c r="D267" t="s">
        <v>33</v>
      </c>
      <c r="E267" t="s">
        <v>39</v>
      </c>
      <c r="F267" t="s">
        <v>36</v>
      </c>
      <c r="G267" t="s">
        <v>14</v>
      </c>
      <c r="H267">
        <v>19.760000000000002</v>
      </c>
      <c r="I267">
        <v>111</v>
      </c>
      <c r="J267">
        <v>2193.36</v>
      </c>
    </row>
    <row r="268" spans="1:10" x14ac:dyDescent="0.25">
      <c r="A268">
        <v>267</v>
      </c>
      <c r="B268" s="1">
        <v>45937</v>
      </c>
      <c r="C268" t="s">
        <v>37</v>
      </c>
      <c r="D268" t="s">
        <v>11</v>
      </c>
      <c r="E268" t="s">
        <v>17</v>
      </c>
      <c r="F268" t="s">
        <v>26</v>
      </c>
      <c r="G268" t="s">
        <v>32</v>
      </c>
      <c r="H268">
        <v>9.02</v>
      </c>
      <c r="I268">
        <v>82</v>
      </c>
      <c r="J268">
        <v>739.64</v>
      </c>
    </row>
    <row r="269" spans="1:10" x14ac:dyDescent="0.25">
      <c r="A269">
        <v>268</v>
      </c>
      <c r="B269" s="1">
        <v>45695</v>
      </c>
      <c r="C269" t="s">
        <v>37</v>
      </c>
      <c r="D269" t="s">
        <v>24</v>
      </c>
      <c r="E269" t="s">
        <v>38</v>
      </c>
      <c r="F269" t="s">
        <v>36</v>
      </c>
      <c r="G269" t="s">
        <v>19</v>
      </c>
      <c r="H269">
        <v>17.989999999999998</v>
      </c>
      <c r="I269">
        <v>45</v>
      </c>
      <c r="J269">
        <v>809.55</v>
      </c>
    </row>
    <row r="270" spans="1:10" x14ac:dyDescent="0.25">
      <c r="A270">
        <v>269</v>
      </c>
      <c r="B270" s="1">
        <v>45832</v>
      </c>
      <c r="C270" t="s">
        <v>27</v>
      </c>
      <c r="D270" t="s">
        <v>33</v>
      </c>
      <c r="E270" t="s">
        <v>35</v>
      </c>
      <c r="F270" t="s">
        <v>26</v>
      </c>
      <c r="G270" t="s">
        <v>32</v>
      </c>
      <c r="H270">
        <v>16.149999999999999</v>
      </c>
      <c r="I270">
        <v>85</v>
      </c>
      <c r="J270">
        <v>1372.75</v>
      </c>
    </row>
    <row r="271" spans="1:10" x14ac:dyDescent="0.25">
      <c r="A271">
        <v>270</v>
      </c>
      <c r="B271" s="1">
        <v>45724</v>
      </c>
      <c r="C271" t="s">
        <v>20</v>
      </c>
      <c r="D271" t="s">
        <v>21</v>
      </c>
      <c r="E271" t="s">
        <v>35</v>
      </c>
      <c r="F271" t="s">
        <v>13</v>
      </c>
      <c r="G271" t="s">
        <v>32</v>
      </c>
      <c r="H271">
        <v>19.61</v>
      </c>
      <c r="I271">
        <v>136</v>
      </c>
      <c r="J271">
        <v>2666.96</v>
      </c>
    </row>
    <row r="272" spans="1:10" x14ac:dyDescent="0.25">
      <c r="A272">
        <v>271</v>
      </c>
      <c r="B272" s="1">
        <v>45720</v>
      </c>
      <c r="C272" t="s">
        <v>23</v>
      </c>
      <c r="D272" t="s">
        <v>21</v>
      </c>
      <c r="E272" t="s">
        <v>39</v>
      </c>
      <c r="F272" t="s">
        <v>26</v>
      </c>
      <c r="G272" t="s">
        <v>32</v>
      </c>
      <c r="H272">
        <v>8.52</v>
      </c>
      <c r="I272">
        <v>68</v>
      </c>
      <c r="J272">
        <v>579.36</v>
      </c>
    </row>
    <row r="273" spans="1:10" x14ac:dyDescent="0.25">
      <c r="A273">
        <v>272</v>
      </c>
      <c r="B273" s="1">
        <v>45973</v>
      </c>
      <c r="C273" t="s">
        <v>27</v>
      </c>
      <c r="D273" t="s">
        <v>28</v>
      </c>
      <c r="E273" t="s">
        <v>25</v>
      </c>
      <c r="F273" t="s">
        <v>26</v>
      </c>
      <c r="G273" t="s">
        <v>19</v>
      </c>
      <c r="H273">
        <v>11.91</v>
      </c>
      <c r="I273">
        <v>45</v>
      </c>
      <c r="J273">
        <v>535.95000000000005</v>
      </c>
    </row>
    <row r="274" spans="1:10" x14ac:dyDescent="0.25">
      <c r="A274">
        <v>273</v>
      </c>
      <c r="B274" s="1">
        <v>45739</v>
      </c>
      <c r="C274" t="s">
        <v>37</v>
      </c>
      <c r="D274" t="s">
        <v>24</v>
      </c>
      <c r="E274" t="s">
        <v>29</v>
      </c>
      <c r="F274" t="s">
        <v>36</v>
      </c>
      <c r="G274" t="s">
        <v>19</v>
      </c>
      <c r="H274">
        <v>13.71</v>
      </c>
      <c r="I274">
        <v>136</v>
      </c>
      <c r="J274">
        <v>1864.56</v>
      </c>
    </row>
    <row r="275" spans="1:10" x14ac:dyDescent="0.25">
      <c r="A275">
        <v>274</v>
      </c>
      <c r="B275" s="1">
        <v>45704</v>
      </c>
      <c r="C275" t="s">
        <v>37</v>
      </c>
      <c r="D275" t="s">
        <v>11</v>
      </c>
      <c r="E275" t="s">
        <v>12</v>
      </c>
      <c r="F275" t="s">
        <v>26</v>
      </c>
      <c r="G275" t="s">
        <v>19</v>
      </c>
      <c r="H275">
        <v>23.77</v>
      </c>
      <c r="I275">
        <v>134</v>
      </c>
      <c r="J275">
        <v>3185.18</v>
      </c>
    </row>
    <row r="276" spans="1:10" x14ac:dyDescent="0.25">
      <c r="A276">
        <v>275</v>
      </c>
      <c r="B276" s="1">
        <v>45683</v>
      </c>
      <c r="C276" t="s">
        <v>27</v>
      </c>
      <c r="D276" t="s">
        <v>33</v>
      </c>
      <c r="E276" t="s">
        <v>38</v>
      </c>
      <c r="F276" t="s">
        <v>26</v>
      </c>
      <c r="G276" t="s">
        <v>14</v>
      </c>
      <c r="H276">
        <v>8.83</v>
      </c>
      <c r="I276">
        <v>157</v>
      </c>
      <c r="J276">
        <v>1386.31</v>
      </c>
    </row>
    <row r="277" spans="1:10" x14ac:dyDescent="0.25">
      <c r="A277">
        <v>276</v>
      </c>
      <c r="B277" s="1">
        <v>45662</v>
      </c>
      <c r="C277" t="s">
        <v>23</v>
      </c>
      <c r="D277" t="s">
        <v>28</v>
      </c>
      <c r="E277" t="s">
        <v>35</v>
      </c>
      <c r="F277" t="s">
        <v>36</v>
      </c>
      <c r="G277" t="s">
        <v>32</v>
      </c>
      <c r="H277">
        <v>21.56</v>
      </c>
      <c r="I277">
        <v>115</v>
      </c>
      <c r="J277">
        <v>2479.4</v>
      </c>
    </row>
    <row r="278" spans="1:10" x14ac:dyDescent="0.25">
      <c r="A278">
        <v>277</v>
      </c>
      <c r="B278" s="1">
        <v>45681</v>
      </c>
      <c r="C278" t="s">
        <v>20</v>
      </c>
      <c r="D278" t="s">
        <v>11</v>
      </c>
      <c r="E278" t="s">
        <v>35</v>
      </c>
      <c r="F278" t="s">
        <v>26</v>
      </c>
      <c r="G278" t="s">
        <v>19</v>
      </c>
      <c r="H278">
        <v>11.51</v>
      </c>
      <c r="I278">
        <v>150</v>
      </c>
      <c r="J278">
        <v>1726.5</v>
      </c>
    </row>
    <row r="279" spans="1:10" x14ac:dyDescent="0.25">
      <c r="A279">
        <v>278</v>
      </c>
      <c r="B279" s="1">
        <v>45855</v>
      </c>
      <c r="C279" t="s">
        <v>20</v>
      </c>
      <c r="D279" t="s">
        <v>28</v>
      </c>
      <c r="E279" t="s">
        <v>25</v>
      </c>
      <c r="F279" t="s">
        <v>18</v>
      </c>
      <c r="G279" t="s">
        <v>19</v>
      </c>
      <c r="H279">
        <v>13.85</v>
      </c>
      <c r="I279">
        <v>200</v>
      </c>
      <c r="J279">
        <v>2770</v>
      </c>
    </row>
    <row r="280" spans="1:10" x14ac:dyDescent="0.25">
      <c r="A280">
        <v>279</v>
      </c>
      <c r="B280" s="1">
        <v>45707</v>
      </c>
      <c r="C280" t="s">
        <v>20</v>
      </c>
      <c r="D280" t="s">
        <v>28</v>
      </c>
      <c r="E280" t="s">
        <v>31</v>
      </c>
      <c r="F280" t="s">
        <v>13</v>
      </c>
      <c r="G280" t="s">
        <v>14</v>
      </c>
      <c r="H280">
        <v>11.36</v>
      </c>
      <c r="I280">
        <v>91</v>
      </c>
      <c r="J280">
        <v>1033.76</v>
      </c>
    </row>
    <row r="281" spans="1:10" x14ac:dyDescent="0.25">
      <c r="A281">
        <v>280</v>
      </c>
      <c r="B281" s="1">
        <v>45918</v>
      </c>
      <c r="C281" t="s">
        <v>15</v>
      </c>
      <c r="D281" t="s">
        <v>21</v>
      </c>
      <c r="E281" t="s">
        <v>31</v>
      </c>
      <c r="F281" t="s">
        <v>26</v>
      </c>
      <c r="G281" t="s">
        <v>32</v>
      </c>
      <c r="H281">
        <v>11.53</v>
      </c>
      <c r="I281">
        <v>15</v>
      </c>
      <c r="J281">
        <v>172.95</v>
      </c>
    </row>
    <row r="282" spans="1:10" x14ac:dyDescent="0.25">
      <c r="A282">
        <v>281</v>
      </c>
      <c r="B282" s="1">
        <v>45923</v>
      </c>
      <c r="C282" t="s">
        <v>20</v>
      </c>
      <c r="D282" t="s">
        <v>11</v>
      </c>
      <c r="E282" t="s">
        <v>35</v>
      </c>
      <c r="F282" t="s">
        <v>26</v>
      </c>
      <c r="G282" t="s">
        <v>19</v>
      </c>
      <c r="H282">
        <v>12.78</v>
      </c>
      <c r="I282">
        <v>160</v>
      </c>
      <c r="J282">
        <v>2044.8</v>
      </c>
    </row>
    <row r="283" spans="1:10" x14ac:dyDescent="0.25">
      <c r="A283">
        <v>282</v>
      </c>
      <c r="B283" s="1">
        <v>45859</v>
      </c>
      <c r="C283" t="s">
        <v>27</v>
      </c>
      <c r="D283" t="s">
        <v>28</v>
      </c>
      <c r="E283" t="s">
        <v>25</v>
      </c>
      <c r="F283" t="s">
        <v>26</v>
      </c>
      <c r="G283" t="s">
        <v>14</v>
      </c>
      <c r="H283">
        <v>24.79</v>
      </c>
      <c r="I283">
        <v>194</v>
      </c>
      <c r="J283">
        <v>4809.26</v>
      </c>
    </row>
    <row r="284" spans="1:10" x14ac:dyDescent="0.25">
      <c r="A284">
        <v>283</v>
      </c>
      <c r="B284" s="1">
        <v>45918</v>
      </c>
      <c r="C284" t="s">
        <v>20</v>
      </c>
      <c r="D284" t="s">
        <v>28</v>
      </c>
      <c r="E284" t="s">
        <v>38</v>
      </c>
      <c r="F284" t="s">
        <v>18</v>
      </c>
      <c r="G284" t="s">
        <v>32</v>
      </c>
      <c r="H284">
        <v>14.48</v>
      </c>
      <c r="I284">
        <v>186</v>
      </c>
      <c r="J284">
        <v>2693.28</v>
      </c>
    </row>
    <row r="285" spans="1:10" x14ac:dyDescent="0.25">
      <c r="A285">
        <v>284</v>
      </c>
      <c r="B285" s="1">
        <v>45827</v>
      </c>
      <c r="C285" t="s">
        <v>20</v>
      </c>
      <c r="D285" t="s">
        <v>28</v>
      </c>
      <c r="E285" t="s">
        <v>39</v>
      </c>
      <c r="F285" t="s">
        <v>36</v>
      </c>
      <c r="G285" t="s">
        <v>32</v>
      </c>
      <c r="H285">
        <v>17.66</v>
      </c>
      <c r="I285">
        <v>111</v>
      </c>
      <c r="J285">
        <v>1960.26</v>
      </c>
    </row>
    <row r="286" spans="1:10" x14ac:dyDescent="0.25">
      <c r="A286">
        <v>285</v>
      </c>
      <c r="B286" s="1">
        <v>45993</v>
      </c>
      <c r="C286" t="s">
        <v>20</v>
      </c>
      <c r="D286" t="s">
        <v>11</v>
      </c>
      <c r="E286" t="s">
        <v>39</v>
      </c>
      <c r="F286" t="s">
        <v>36</v>
      </c>
      <c r="G286" t="s">
        <v>19</v>
      </c>
      <c r="H286">
        <v>20.12</v>
      </c>
      <c r="I286">
        <v>153</v>
      </c>
      <c r="J286">
        <v>3078.36</v>
      </c>
    </row>
    <row r="287" spans="1:10" x14ac:dyDescent="0.25">
      <c r="A287">
        <v>286</v>
      </c>
      <c r="B287" s="1">
        <v>45926</v>
      </c>
      <c r="C287" t="s">
        <v>27</v>
      </c>
      <c r="D287" t="s">
        <v>24</v>
      </c>
      <c r="E287" t="s">
        <v>31</v>
      </c>
      <c r="F287" t="s">
        <v>13</v>
      </c>
      <c r="G287" t="s">
        <v>19</v>
      </c>
      <c r="H287">
        <v>16.649999999999999</v>
      </c>
      <c r="I287">
        <v>163</v>
      </c>
      <c r="J287">
        <v>2713.95</v>
      </c>
    </row>
    <row r="288" spans="1:10" x14ac:dyDescent="0.25">
      <c r="A288">
        <v>287</v>
      </c>
      <c r="B288" s="1">
        <v>45951</v>
      </c>
      <c r="C288" t="s">
        <v>23</v>
      </c>
      <c r="D288" t="s">
        <v>21</v>
      </c>
      <c r="E288" t="s">
        <v>38</v>
      </c>
      <c r="F288" t="s">
        <v>26</v>
      </c>
      <c r="G288" t="s">
        <v>32</v>
      </c>
      <c r="H288">
        <v>23.83</v>
      </c>
      <c r="I288">
        <v>33</v>
      </c>
      <c r="J288">
        <v>786.39</v>
      </c>
    </row>
    <row r="289" spans="1:10" x14ac:dyDescent="0.25">
      <c r="A289">
        <v>288</v>
      </c>
      <c r="B289" s="1">
        <v>45735</v>
      </c>
      <c r="C289" t="s">
        <v>37</v>
      </c>
      <c r="D289" t="s">
        <v>16</v>
      </c>
      <c r="E289" t="s">
        <v>25</v>
      </c>
      <c r="F289" t="s">
        <v>36</v>
      </c>
      <c r="G289" t="s">
        <v>14</v>
      </c>
      <c r="H289">
        <v>11.79</v>
      </c>
      <c r="I289">
        <v>57</v>
      </c>
      <c r="J289">
        <v>672.03</v>
      </c>
    </row>
    <row r="290" spans="1:10" x14ac:dyDescent="0.25">
      <c r="A290">
        <v>289</v>
      </c>
      <c r="B290" s="1">
        <v>45689</v>
      </c>
      <c r="C290" t="s">
        <v>23</v>
      </c>
      <c r="D290" t="s">
        <v>16</v>
      </c>
      <c r="E290" t="s">
        <v>35</v>
      </c>
      <c r="F290" t="s">
        <v>36</v>
      </c>
      <c r="G290" t="s">
        <v>14</v>
      </c>
      <c r="H290">
        <v>18.38</v>
      </c>
      <c r="I290">
        <v>137</v>
      </c>
      <c r="J290">
        <v>2518.06</v>
      </c>
    </row>
    <row r="291" spans="1:10" x14ac:dyDescent="0.25">
      <c r="A291">
        <v>290</v>
      </c>
      <c r="B291" s="1">
        <v>45850</v>
      </c>
      <c r="C291" t="s">
        <v>37</v>
      </c>
      <c r="D291" t="s">
        <v>16</v>
      </c>
      <c r="E291" t="s">
        <v>35</v>
      </c>
      <c r="F291" t="s">
        <v>26</v>
      </c>
      <c r="G291" t="s">
        <v>14</v>
      </c>
      <c r="H291">
        <v>9.56</v>
      </c>
      <c r="I291">
        <v>49</v>
      </c>
      <c r="J291">
        <v>468.44</v>
      </c>
    </row>
    <row r="292" spans="1:10" x14ac:dyDescent="0.25">
      <c r="A292">
        <v>291</v>
      </c>
      <c r="B292" s="1">
        <v>46006</v>
      </c>
      <c r="C292" t="s">
        <v>10</v>
      </c>
      <c r="D292" t="s">
        <v>16</v>
      </c>
      <c r="E292" t="s">
        <v>38</v>
      </c>
      <c r="F292" t="s">
        <v>13</v>
      </c>
      <c r="G292" t="s">
        <v>19</v>
      </c>
      <c r="H292">
        <v>16.97</v>
      </c>
      <c r="I292">
        <v>182</v>
      </c>
      <c r="J292">
        <v>3088.54</v>
      </c>
    </row>
    <row r="293" spans="1:10" x14ac:dyDescent="0.25">
      <c r="A293">
        <v>292</v>
      </c>
      <c r="B293" s="1">
        <v>45800</v>
      </c>
      <c r="C293" t="s">
        <v>10</v>
      </c>
      <c r="D293" t="s">
        <v>28</v>
      </c>
      <c r="E293" t="s">
        <v>12</v>
      </c>
      <c r="F293" t="s">
        <v>36</v>
      </c>
      <c r="G293" t="s">
        <v>32</v>
      </c>
      <c r="H293">
        <v>15.06</v>
      </c>
      <c r="I293">
        <v>62</v>
      </c>
      <c r="J293">
        <v>933.72</v>
      </c>
    </row>
    <row r="294" spans="1:10" x14ac:dyDescent="0.25">
      <c r="A294">
        <v>293</v>
      </c>
      <c r="B294" s="1">
        <v>45903</v>
      </c>
      <c r="C294" t="s">
        <v>10</v>
      </c>
      <c r="D294" t="s">
        <v>28</v>
      </c>
      <c r="E294" t="s">
        <v>34</v>
      </c>
      <c r="F294" t="s">
        <v>36</v>
      </c>
      <c r="G294" t="s">
        <v>32</v>
      </c>
      <c r="H294">
        <v>10.35</v>
      </c>
      <c r="I294">
        <v>189</v>
      </c>
      <c r="J294">
        <v>1956.15</v>
      </c>
    </row>
    <row r="295" spans="1:10" x14ac:dyDescent="0.25">
      <c r="A295">
        <v>294</v>
      </c>
      <c r="B295" s="1">
        <v>45834</v>
      </c>
      <c r="C295" t="s">
        <v>10</v>
      </c>
      <c r="D295" t="s">
        <v>21</v>
      </c>
      <c r="E295" t="s">
        <v>29</v>
      </c>
      <c r="F295" t="s">
        <v>18</v>
      </c>
      <c r="G295" t="s">
        <v>32</v>
      </c>
      <c r="H295">
        <v>23.98</v>
      </c>
      <c r="I295">
        <v>42</v>
      </c>
      <c r="J295">
        <v>1007.16</v>
      </c>
    </row>
    <row r="296" spans="1:10" x14ac:dyDescent="0.25">
      <c r="A296">
        <v>295</v>
      </c>
      <c r="B296" s="1">
        <v>45884</v>
      </c>
      <c r="C296" t="s">
        <v>37</v>
      </c>
      <c r="D296" t="s">
        <v>11</v>
      </c>
      <c r="E296" t="s">
        <v>12</v>
      </c>
      <c r="F296" t="s">
        <v>26</v>
      </c>
      <c r="G296" t="s">
        <v>14</v>
      </c>
      <c r="H296">
        <v>17.260000000000002</v>
      </c>
      <c r="I296">
        <v>196</v>
      </c>
      <c r="J296">
        <v>3382.96</v>
      </c>
    </row>
    <row r="297" spans="1:10" x14ac:dyDescent="0.25">
      <c r="A297">
        <v>296</v>
      </c>
      <c r="B297" s="1">
        <v>46014</v>
      </c>
      <c r="C297" t="s">
        <v>20</v>
      </c>
      <c r="D297" t="s">
        <v>33</v>
      </c>
      <c r="E297" t="s">
        <v>25</v>
      </c>
      <c r="F297" t="s">
        <v>13</v>
      </c>
      <c r="G297" t="s">
        <v>19</v>
      </c>
      <c r="H297">
        <v>8.61</v>
      </c>
      <c r="I297">
        <v>32</v>
      </c>
      <c r="J297">
        <v>275.52</v>
      </c>
    </row>
    <row r="298" spans="1:10" x14ac:dyDescent="0.25">
      <c r="A298">
        <v>297</v>
      </c>
      <c r="B298" s="1">
        <v>45683</v>
      </c>
      <c r="C298" t="s">
        <v>23</v>
      </c>
      <c r="D298" t="s">
        <v>33</v>
      </c>
      <c r="E298" t="s">
        <v>12</v>
      </c>
      <c r="F298" t="s">
        <v>18</v>
      </c>
      <c r="G298" t="s">
        <v>19</v>
      </c>
      <c r="H298">
        <v>17.57</v>
      </c>
      <c r="I298">
        <v>140</v>
      </c>
      <c r="J298">
        <v>2459.8000000000002</v>
      </c>
    </row>
    <row r="299" spans="1:10" x14ac:dyDescent="0.25">
      <c r="A299">
        <v>298</v>
      </c>
      <c r="B299" s="1">
        <v>45869</v>
      </c>
      <c r="C299" t="s">
        <v>15</v>
      </c>
      <c r="D299" t="s">
        <v>33</v>
      </c>
      <c r="E299" t="s">
        <v>31</v>
      </c>
      <c r="F299" t="s">
        <v>18</v>
      </c>
      <c r="G299" t="s">
        <v>14</v>
      </c>
      <c r="H299">
        <v>9.93</v>
      </c>
      <c r="I299">
        <v>125</v>
      </c>
      <c r="J299">
        <v>1241.25</v>
      </c>
    </row>
    <row r="300" spans="1:10" x14ac:dyDescent="0.25">
      <c r="A300">
        <v>299</v>
      </c>
      <c r="B300" s="1">
        <v>45738</v>
      </c>
      <c r="C300" t="s">
        <v>37</v>
      </c>
      <c r="D300" t="s">
        <v>33</v>
      </c>
      <c r="E300" t="s">
        <v>12</v>
      </c>
      <c r="F300" t="s">
        <v>26</v>
      </c>
      <c r="G300" t="s">
        <v>32</v>
      </c>
      <c r="H300">
        <v>11.66</v>
      </c>
      <c r="I300">
        <v>126</v>
      </c>
      <c r="J300">
        <v>1469.16</v>
      </c>
    </row>
    <row r="301" spans="1:10" x14ac:dyDescent="0.25">
      <c r="A301">
        <v>300</v>
      </c>
      <c r="B301" s="1">
        <v>45804</v>
      </c>
      <c r="C301" t="s">
        <v>30</v>
      </c>
      <c r="D301" t="s">
        <v>16</v>
      </c>
      <c r="E301" t="s">
        <v>12</v>
      </c>
      <c r="F301" t="s">
        <v>18</v>
      </c>
      <c r="G301" t="s">
        <v>19</v>
      </c>
      <c r="H301">
        <v>17.03</v>
      </c>
      <c r="I301">
        <v>27</v>
      </c>
      <c r="J301">
        <v>459.81</v>
      </c>
    </row>
    <row r="302" spans="1:10" x14ac:dyDescent="0.25">
      <c r="A302">
        <v>301</v>
      </c>
      <c r="B302" s="1">
        <v>45871</v>
      </c>
      <c r="C302" t="s">
        <v>15</v>
      </c>
      <c r="D302" t="s">
        <v>24</v>
      </c>
      <c r="E302" t="s">
        <v>38</v>
      </c>
      <c r="F302" t="s">
        <v>13</v>
      </c>
      <c r="G302" t="s">
        <v>14</v>
      </c>
      <c r="H302">
        <v>22.35</v>
      </c>
      <c r="I302">
        <v>50</v>
      </c>
      <c r="J302">
        <v>1117.5</v>
      </c>
    </row>
    <row r="303" spans="1:10" x14ac:dyDescent="0.25">
      <c r="A303">
        <v>302</v>
      </c>
      <c r="B303" s="1">
        <v>45806</v>
      </c>
      <c r="C303" t="s">
        <v>10</v>
      </c>
      <c r="D303" t="s">
        <v>16</v>
      </c>
      <c r="E303" t="s">
        <v>25</v>
      </c>
      <c r="F303" t="s">
        <v>18</v>
      </c>
      <c r="G303" t="s">
        <v>32</v>
      </c>
      <c r="H303">
        <v>22.23</v>
      </c>
      <c r="I303">
        <v>7</v>
      </c>
      <c r="J303">
        <v>155.61000000000001</v>
      </c>
    </row>
    <row r="304" spans="1:10" x14ac:dyDescent="0.25">
      <c r="A304">
        <v>303</v>
      </c>
      <c r="B304" s="1">
        <v>45803</v>
      </c>
      <c r="C304" t="s">
        <v>20</v>
      </c>
      <c r="D304" t="s">
        <v>16</v>
      </c>
      <c r="E304" t="s">
        <v>38</v>
      </c>
      <c r="F304" t="s">
        <v>13</v>
      </c>
      <c r="G304" t="s">
        <v>14</v>
      </c>
      <c r="H304">
        <v>12.72</v>
      </c>
      <c r="I304">
        <v>169</v>
      </c>
      <c r="J304">
        <v>2149.6799999999998</v>
      </c>
    </row>
    <row r="305" spans="1:10" x14ac:dyDescent="0.25">
      <c r="A305">
        <v>304</v>
      </c>
      <c r="B305" s="1">
        <v>45897</v>
      </c>
      <c r="C305" t="s">
        <v>10</v>
      </c>
      <c r="D305" t="s">
        <v>11</v>
      </c>
      <c r="E305" t="s">
        <v>38</v>
      </c>
      <c r="F305" t="s">
        <v>26</v>
      </c>
      <c r="G305" t="s">
        <v>14</v>
      </c>
      <c r="H305">
        <v>8.64</v>
      </c>
      <c r="I305">
        <v>33</v>
      </c>
      <c r="J305">
        <v>285.12</v>
      </c>
    </row>
    <row r="306" spans="1:10" x14ac:dyDescent="0.25">
      <c r="A306">
        <v>305</v>
      </c>
      <c r="B306" s="1">
        <v>45753</v>
      </c>
      <c r="C306" t="s">
        <v>27</v>
      </c>
      <c r="D306" t="s">
        <v>28</v>
      </c>
      <c r="E306" t="s">
        <v>25</v>
      </c>
      <c r="F306" t="s">
        <v>13</v>
      </c>
      <c r="G306" t="s">
        <v>19</v>
      </c>
      <c r="H306">
        <v>2.82</v>
      </c>
      <c r="I306">
        <v>91</v>
      </c>
      <c r="J306">
        <v>256.62</v>
      </c>
    </row>
    <row r="307" spans="1:10" x14ac:dyDescent="0.25">
      <c r="A307">
        <v>306</v>
      </c>
      <c r="B307" s="1">
        <v>45970</v>
      </c>
      <c r="C307" t="s">
        <v>27</v>
      </c>
      <c r="D307" t="s">
        <v>24</v>
      </c>
      <c r="E307" t="s">
        <v>22</v>
      </c>
      <c r="F307" t="s">
        <v>26</v>
      </c>
      <c r="G307" t="s">
        <v>19</v>
      </c>
      <c r="H307">
        <v>21.76</v>
      </c>
      <c r="I307">
        <v>108</v>
      </c>
      <c r="J307">
        <v>2350.08</v>
      </c>
    </row>
    <row r="308" spans="1:10" x14ac:dyDescent="0.25">
      <c r="A308">
        <v>307</v>
      </c>
      <c r="B308" s="1">
        <v>45863</v>
      </c>
      <c r="C308" t="s">
        <v>23</v>
      </c>
      <c r="D308" t="s">
        <v>24</v>
      </c>
      <c r="E308" t="s">
        <v>35</v>
      </c>
      <c r="F308" t="s">
        <v>13</v>
      </c>
      <c r="G308" t="s">
        <v>19</v>
      </c>
      <c r="H308">
        <v>17.559999999999999</v>
      </c>
      <c r="I308">
        <v>52</v>
      </c>
      <c r="J308">
        <v>913.12</v>
      </c>
    </row>
    <row r="309" spans="1:10" x14ac:dyDescent="0.25">
      <c r="A309">
        <v>308</v>
      </c>
      <c r="B309" s="1">
        <v>45791</v>
      </c>
      <c r="C309" t="s">
        <v>27</v>
      </c>
      <c r="D309" t="s">
        <v>28</v>
      </c>
      <c r="E309" t="s">
        <v>35</v>
      </c>
      <c r="F309" t="s">
        <v>26</v>
      </c>
      <c r="G309" t="s">
        <v>14</v>
      </c>
      <c r="H309">
        <v>11.13</v>
      </c>
      <c r="I309">
        <v>119</v>
      </c>
      <c r="J309">
        <v>1324.47</v>
      </c>
    </row>
    <row r="310" spans="1:10" x14ac:dyDescent="0.25">
      <c r="A310">
        <v>309</v>
      </c>
      <c r="B310" s="1">
        <v>45951</v>
      </c>
      <c r="C310" t="s">
        <v>10</v>
      </c>
      <c r="D310" t="s">
        <v>33</v>
      </c>
      <c r="E310" t="s">
        <v>12</v>
      </c>
      <c r="F310" t="s">
        <v>18</v>
      </c>
      <c r="G310" t="s">
        <v>14</v>
      </c>
      <c r="H310">
        <v>2.76</v>
      </c>
      <c r="I310">
        <v>172</v>
      </c>
      <c r="J310">
        <v>474.72</v>
      </c>
    </row>
    <row r="311" spans="1:10" x14ac:dyDescent="0.25">
      <c r="A311">
        <v>310</v>
      </c>
      <c r="B311" s="1">
        <v>45718</v>
      </c>
      <c r="C311" t="s">
        <v>37</v>
      </c>
      <c r="D311" t="s">
        <v>33</v>
      </c>
      <c r="E311" t="s">
        <v>22</v>
      </c>
      <c r="F311" t="s">
        <v>26</v>
      </c>
      <c r="G311" t="s">
        <v>14</v>
      </c>
      <c r="H311">
        <v>12.97</v>
      </c>
      <c r="I311">
        <v>45</v>
      </c>
      <c r="J311">
        <v>583.65</v>
      </c>
    </row>
    <row r="312" spans="1:10" x14ac:dyDescent="0.25">
      <c r="A312">
        <v>311</v>
      </c>
      <c r="B312" s="1">
        <v>45718</v>
      </c>
      <c r="C312" t="s">
        <v>10</v>
      </c>
      <c r="D312" t="s">
        <v>16</v>
      </c>
      <c r="E312" t="s">
        <v>12</v>
      </c>
      <c r="F312" t="s">
        <v>13</v>
      </c>
      <c r="G312" t="s">
        <v>19</v>
      </c>
      <c r="H312">
        <v>16.87</v>
      </c>
      <c r="I312">
        <v>80</v>
      </c>
      <c r="J312">
        <v>1349.6</v>
      </c>
    </row>
    <row r="313" spans="1:10" x14ac:dyDescent="0.25">
      <c r="A313">
        <v>312</v>
      </c>
      <c r="B313" s="1">
        <v>45902</v>
      </c>
      <c r="C313" t="s">
        <v>20</v>
      </c>
      <c r="D313" t="s">
        <v>28</v>
      </c>
      <c r="E313" t="s">
        <v>17</v>
      </c>
      <c r="F313" t="s">
        <v>36</v>
      </c>
      <c r="G313" t="s">
        <v>14</v>
      </c>
      <c r="H313">
        <v>5.95</v>
      </c>
      <c r="I313">
        <v>196</v>
      </c>
      <c r="J313">
        <v>1166.2</v>
      </c>
    </row>
    <row r="314" spans="1:10" x14ac:dyDescent="0.25">
      <c r="A314">
        <v>313</v>
      </c>
      <c r="B314" s="1">
        <v>45998</v>
      </c>
      <c r="C314" t="s">
        <v>23</v>
      </c>
      <c r="D314" t="s">
        <v>33</v>
      </c>
      <c r="E314" t="s">
        <v>25</v>
      </c>
      <c r="F314" t="s">
        <v>18</v>
      </c>
      <c r="G314" t="s">
        <v>14</v>
      </c>
      <c r="H314">
        <v>21.08</v>
      </c>
      <c r="I314">
        <v>200</v>
      </c>
      <c r="J314">
        <v>4216</v>
      </c>
    </row>
    <row r="315" spans="1:10" x14ac:dyDescent="0.25">
      <c r="A315">
        <v>314</v>
      </c>
      <c r="B315" s="1">
        <v>45886</v>
      </c>
      <c r="C315" t="s">
        <v>15</v>
      </c>
      <c r="D315" t="s">
        <v>16</v>
      </c>
      <c r="E315" t="s">
        <v>34</v>
      </c>
      <c r="F315" t="s">
        <v>18</v>
      </c>
      <c r="G315" t="s">
        <v>14</v>
      </c>
      <c r="H315">
        <v>14.38</v>
      </c>
      <c r="I315">
        <v>97</v>
      </c>
      <c r="J315">
        <v>1394.86</v>
      </c>
    </row>
    <row r="316" spans="1:10" x14ac:dyDescent="0.25">
      <c r="A316">
        <v>315</v>
      </c>
      <c r="B316" s="1">
        <v>45916</v>
      </c>
      <c r="C316" t="s">
        <v>23</v>
      </c>
      <c r="D316" t="s">
        <v>11</v>
      </c>
      <c r="E316" t="s">
        <v>35</v>
      </c>
      <c r="F316" t="s">
        <v>36</v>
      </c>
      <c r="G316" t="s">
        <v>19</v>
      </c>
      <c r="H316">
        <v>7.05</v>
      </c>
      <c r="I316">
        <v>142</v>
      </c>
      <c r="J316">
        <v>1001.1</v>
      </c>
    </row>
    <row r="317" spans="1:10" x14ac:dyDescent="0.25">
      <c r="A317">
        <v>316</v>
      </c>
      <c r="B317" s="1">
        <v>46006</v>
      </c>
      <c r="C317" t="s">
        <v>37</v>
      </c>
      <c r="D317" t="s">
        <v>21</v>
      </c>
      <c r="E317" t="s">
        <v>22</v>
      </c>
      <c r="F317" t="s">
        <v>36</v>
      </c>
      <c r="G317" t="s">
        <v>19</v>
      </c>
      <c r="H317">
        <v>7.12</v>
      </c>
      <c r="I317">
        <v>154</v>
      </c>
      <c r="J317">
        <v>1096.48</v>
      </c>
    </row>
    <row r="318" spans="1:10" x14ac:dyDescent="0.25">
      <c r="A318">
        <v>317</v>
      </c>
      <c r="B318" s="1">
        <v>45890</v>
      </c>
      <c r="C318" t="s">
        <v>37</v>
      </c>
      <c r="D318" t="s">
        <v>16</v>
      </c>
      <c r="E318" t="s">
        <v>39</v>
      </c>
      <c r="F318" t="s">
        <v>36</v>
      </c>
      <c r="G318" t="s">
        <v>14</v>
      </c>
      <c r="H318">
        <v>5.47</v>
      </c>
      <c r="I318">
        <v>111</v>
      </c>
      <c r="J318">
        <v>607.16999999999996</v>
      </c>
    </row>
    <row r="319" spans="1:10" x14ac:dyDescent="0.25">
      <c r="A319">
        <v>318</v>
      </c>
      <c r="B319" s="1">
        <v>45815</v>
      </c>
      <c r="C319" t="s">
        <v>10</v>
      </c>
      <c r="D319" t="s">
        <v>21</v>
      </c>
      <c r="E319" t="s">
        <v>12</v>
      </c>
      <c r="F319" t="s">
        <v>18</v>
      </c>
      <c r="G319" t="s">
        <v>19</v>
      </c>
      <c r="H319">
        <v>18.77</v>
      </c>
      <c r="I319">
        <v>106</v>
      </c>
      <c r="J319">
        <v>1989.62</v>
      </c>
    </row>
    <row r="320" spans="1:10" x14ac:dyDescent="0.25">
      <c r="A320">
        <v>319</v>
      </c>
      <c r="B320" s="1">
        <v>45874</v>
      </c>
      <c r="C320" t="s">
        <v>20</v>
      </c>
      <c r="D320" t="s">
        <v>21</v>
      </c>
      <c r="E320" t="s">
        <v>34</v>
      </c>
      <c r="F320" t="s">
        <v>36</v>
      </c>
      <c r="G320" t="s">
        <v>19</v>
      </c>
      <c r="H320">
        <v>10.25</v>
      </c>
      <c r="I320">
        <v>21</v>
      </c>
      <c r="J320">
        <v>215.25</v>
      </c>
    </row>
    <row r="321" spans="1:10" x14ac:dyDescent="0.25">
      <c r="A321">
        <v>320</v>
      </c>
      <c r="B321" s="1">
        <v>45804</v>
      </c>
      <c r="C321" t="s">
        <v>27</v>
      </c>
      <c r="D321" t="s">
        <v>33</v>
      </c>
      <c r="E321" t="s">
        <v>17</v>
      </c>
      <c r="F321" t="s">
        <v>26</v>
      </c>
      <c r="G321" t="s">
        <v>32</v>
      </c>
      <c r="H321">
        <v>11.7</v>
      </c>
      <c r="I321">
        <v>39</v>
      </c>
      <c r="J321">
        <v>456.3</v>
      </c>
    </row>
    <row r="322" spans="1:10" x14ac:dyDescent="0.25">
      <c r="A322">
        <v>321</v>
      </c>
      <c r="B322" s="1">
        <v>45887</v>
      </c>
      <c r="C322" t="s">
        <v>37</v>
      </c>
      <c r="D322" t="s">
        <v>21</v>
      </c>
      <c r="E322" t="s">
        <v>22</v>
      </c>
      <c r="F322" t="s">
        <v>13</v>
      </c>
      <c r="G322" t="s">
        <v>14</v>
      </c>
      <c r="H322">
        <v>22.07</v>
      </c>
      <c r="I322">
        <v>101</v>
      </c>
      <c r="J322">
        <v>2229.0700000000002</v>
      </c>
    </row>
    <row r="323" spans="1:10" x14ac:dyDescent="0.25">
      <c r="A323">
        <v>322</v>
      </c>
      <c r="B323" s="1">
        <v>45836</v>
      </c>
      <c r="C323" t="s">
        <v>37</v>
      </c>
      <c r="D323" t="s">
        <v>16</v>
      </c>
      <c r="E323" t="s">
        <v>31</v>
      </c>
      <c r="F323" t="s">
        <v>13</v>
      </c>
      <c r="G323" t="s">
        <v>19</v>
      </c>
      <c r="H323">
        <v>5.17</v>
      </c>
      <c r="I323">
        <v>142</v>
      </c>
      <c r="J323">
        <v>734.14</v>
      </c>
    </row>
    <row r="324" spans="1:10" x14ac:dyDescent="0.25">
      <c r="A324">
        <v>323</v>
      </c>
      <c r="B324" s="1">
        <v>45669</v>
      </c>
      <c r="C324" t="s">
        <v>30</v>
      </c>
      <c r="D324" t="s">
        <v>33</v>
      </c>
      <c r="E324" t="s">
        <v>22</v>
      </c>
      <c r="F324" t="s">
        <v>36</v>
      </c>
      <c r="G324" t="s">
        <v>14</v>
      </c>
      <c r="H324">
        <v>24.52</v>
      </c>
      <c r="I324">
        <v>123</v>
      </c>
      <c r="J324">
        <v>3015.96</v>
      </c>
    </row>
    <row r="325" spans="1:10" x14ac:dyDescent="0.25">
      <c r="A325">
        <v>324</v>
      </c>
      <c r="B325" s="1">
        <v>45852</v>
      </c>
      <c r="C325" t="s">
        <v>37</v>
      </c>
      <c r="D325" t="s">
        <v>28</v>
      </c>
      <c r="E325" t="s">
        <v>31</v>
      </c>
      <c r="F325" t="s">
        <v>26</v>
      </c>
      <c r="G325" t="s">
        <v>19</v>
      </c>
      <c r="H325">
        <v>21.03</v>
      </c>
      <c r="I325">
        <v>68</v>
      </c>
      <c r="J325">
        <v>1430.04</v>
      </c>
    </row>
    <row r="326" spans="1:10" x14ac:dyDescent="0.25">
      <c r="A326">
        <v>325</v>
      </c>
      <c r="B326" s="1">
        <v>45715</v>
      </c>
      <c r="C326" t="s">
        <v>37</v>
      </c>
      <c r="D326" t="s">
        <v>16</v>
      </c>
      <c r="E326" t="s">
        <v>39</v>
      </c>
      <c r="F326" t="s">
        <v>13</v>
      </c>
      <c r="G326" t="s">
        <v>19</v>
      </c>
      <c r="H326">
        <v>3.22</v>
      </c>
      <c r="I326">
        <v>174</v>
      </c>
      <c r="J326">
        <v>560.28</v>
      </c>
    </row>
    <row r="327" spans="1:10" x14ac:dyDescent="0.25">
      <c r="A327">
        <v>326</v>
      </c>
      <c r="B327" s="1">
        <v>45692</v>
      </c>
      <c r="C327" t="s">
        <v>37</v>
      </c>
      <c r="D327" t="s">
        <v>16</v>
      </c>
      <c r="E327" t="s">
        <v>39</v>
      </c>
      <c r="F327" t="s">
        <v>13</v>
      </c>
      <c r="G327" t="s">
        <v>14</v>
      </c>
      <c r="H327">
        <v>4.7699999999999996</v>
      </c>
      <c r="I327">
        <v>13</v>
      </c>
      <c r="J327">
        <v>62.01</v>
      </c>
    </row>
    <row r="328" spans="1:10" x14ac:dyDescent="0.25">
      <c r="A328">
        <v>327</v>
      </c>
      <c r="B328" s="1">
        <v>45680</v>
      </c>
      <c r="C328" t="s">
        <v>20</v>
      </c>
      <c r="D328" t="s">
        <v>11</v>
      </c>
      <c r="E328" t="s">
        <v>39</v>
      </c>
      <c r="F328" t="s">
        <v>13</v>
      </c>
      <c r="G328" t="s">
        <v>14</v>
      </c>
      <c r="H328">
        <v>11.55</v>
      </c>
      <c r="I328">
        <v>64</v>
      </c>
      <c r="J328">
        <v>739.2</v>
      </c>
    </row>
    <row r="329" spans="1:10" x14ac:dyDescent="0.25">
      <c r="A329">
        <v>328</v>
      </c>
      <c r="B329" s="1">
        <v>45806</v>
      </c>
      <c r="C329" t="s">
        <v>20</v>
      </c>
      <c r="D329" t="s">
        <v>28</v>
      </c>
      <c r="E329" t="s">
        <v>25</v>
      </c>
      <c r="F329" t="s">
        <v>26</v>
      </c>
      <c r="G329" t="s">
        <v>19</v>
      </c>
      <c r="H329">
        <v>7.77</v>
      </c>
      <c r="I329">
        <v>192</v>
      </c>
      <c r="J329">
        <v>1491.84</v>
      </c>
    </row>
    <row r="330" spans="1:10" x14ac:dyDescent="0.25">
      <c r="A330">
        <v>329</v>
      </c>
      <c r="B330" s="1">
        <v>45812</v>
      </c>
      <c r="C330" t="s">
        <v>20</v>
      </c>
      <c r="D330" t="s">
        <v>11</v>
      </c>
      <c r="E330" t="s">
        <v>17</v>
      </c>
      <c r="F330" t="s">
        <v>26</v>
      </c>
      <c r="G330" t="s">
        <v>32</v>
      </c>
      <c r="H330">
        <v>22.22</v>
      </c>
      <c r="I330">
        <v>174</v>
      </c>
      <c r="J330">
        <v>3866.28</v>
      </c>
    </row>
    <row r="331" spans="1:10" x14ac:dyDescent="0.25">
      <c r="A331">
        <v>330</v>
      </c>
      <c r="B331" s="1">
        <v>45689</v>
      </c>
      <c r="C331" t="s">
        <v>30</v>
      </c>
      <c r="D331" t="s">
        <v>11</v>
      </c>
      <c r="E331" t="s">
        <v>17</v>
      </c>
      <c r="F331" t="s">
        <v>36</v>
      </c>
      <c r="G331" t="s">
        <v>19</v>
      </c>
      <c r="H331">
        <v>15.03</v>
      </c>
      <c r="I331">
        <v>156</v>
      </c>
      <c r="J331">
        <v>2344.6799999999998</v>
      </c>
    </row>
    <row r="332" spans="1:10" x14ac:dyDescent="0.25">
      <c r="A332">
        <v>331</v>
      </c>
      <c r="B332" s="1">
        <v>45834</v>
      </c>
      <c r="C332" t="s">
        <v>37</v>
      </c>
      <c r="D332" t="s">
        <v>16</v>
      </c>
      <c r="E332" t="s">
        <v>35</v>
      </c>
      <c r="F332" t="s">
        <v>36</v>
      </c>
      <c r="G332" t="s">
        <v>32</v>
      </c>
      <c r="H332">
        <v>23.69</v>
      </c>
      <c r="I332">
        <v>176</v>
      </c>
      <c r="J332">
        <v>4169.4399999999996</v>
      </c>
    </row>
    <row r="333" spans="1:10" x14ac:dyDescent="0.25">
      <c r="A333">
        <v>332</v>
      </c>
      <c r="B333" s="1">
        <v>45734</v>
      </c>
      <c r="C333" t="s">
        <v>27</v>
      </c>
      <c r="D333" t="s">
        <v>16</v>
      </c>
      <c r="E333" t="s">
        <v>38</v>
      </c>
      <c r="F333" t="s">
        <v>13</v>
      </c>
      <c r="G333" t="s">
        <v>19</v>
      </c>
      <c r="H333">
        <v>9.25</v>
      </c>
      <c r="I333">
        <v>52</v>
      </c>
      <c r="J333">
        <v>481</v>
      </c>
    </row>
    <row r="334" spans="1:10" x14ac:dyDescent="0.25">
      <c r="A334">
        <v>333</v>
      </c>
      <c r="B334" s="1">
        <v>45811</v>
      </c>
      <c r="C334" t="s">
        <v>27</v>
      </c>
      <c r="D334" t="s">
        <v>24</v>
      </c>
      <c r="E334" t="s">
        <v>39</v>
      </c>
      <c r="F334" t="s">
        <v>36</v>
      </c>
      <c r="G334" t="s">
        <v>32</v>
      </c>
      <c r="H334">
        <v>21.79</v>
      </c>
      <c r="I334">
        <v>41</v>
      </c>
      <c r="J334">
        <v>893.39</v>
      </c>
    </row>
    <row r="335" spans="1:10" x14ac:dyDescent="0.25">
      <c r="A335">
        <v>334</v>
      </c>
      <c r="B335" s="1">
        <v>45943</v>
      </c>
      <c r="C335" t="s">
        <v>23</v>
      </c>
      <c r="D335" t="s">
        <v>28</v>
      </c>
      <c r="E335" t="s">
        <v>12</v>
      </c>
      <c r="F335" t="s">
        <v>26</v>
      </c>
      <c r="G335" t="s">
        <v>14</v>
      </c>
      <c r="H335">
        <v>14.42</v>
      </c>
      <c r="I335">
        <v>104</v>
      </c>
      <c r="J335">
        <v>1499.68</v>
      </c>
    </row>
    <row r="336" spans="1:10" x14ac:dyDescent="0.25">
      <c r="A336">
        <v>335</v>
      </c>
      <c r="B336" s="1">
        <v>45698</v>
      </c>
      <c r="C336" t="s">
        <v>15</v>
      </c>
      <c r="D336" t="s">
        <v>16</v>
      </c>
      <c r="E336" t="s">
        <v>12</v>
      </c>
      <c r="F336" t="s">
        <v>18</v>
      </c>
      <c r="G336" t="s">
        <v>32</v>
      </c>
      <c r="H336">
        <v>23.25</v>
      </c>
      <c r="I336">
        <v>99</v>
      </c>
      <c r="J336">
        <v>2301.75</v>
      </c>
    </row>
    <row r="337" spans="1:10" x14ac:dyDescent="0.25">
      <c r="A337">
        <v>336</v>
      </c>
      <c r="B337" s="1">
        <v>45851</v>
      </c>
      <c r="C337" t="s">
        <v>15</v>
      </c>
      <c r="D337" t="s">
        <v>21</v>
      </c>
      <c r="E337" t="s">
        <v>12</v>
      </c>
      <c r="F337" t="s">
        <v>13</v>
      </c>
      <c r="G337" t="s">
        <v>32</v>
      </c>
      <c r="H337">
        <v>17.66</v>
      </c>
      <c r="I337">
        <v>159</v>
      </c>
      <c r="J337">
        <v>2807.94</v>
      </c>
    </row>
    <row r="338" spans="1:10" x14ac:dyDescent="0.25">
      <c r="A338">
        <v>337</v>
      </c>
      <c r="B338" s="1">
        <v>45764</v>
      </c>
      <c r="C338" t="s">
        <v>10</v>
      </c>
      <c r="D338" t="s">
        <v>21</v>
      </c>
      <c r="E338" t="s">
        <v>12</v>
      </c>
      <c r="F338" t="s">
        <v>13</v>
      </c>
      <c r="G338" t="s">
        <v>14</v>
      </c>
      <c r="H338">
        <v>22.06</v>
      </c>
      <c r="I338">
        <v>90</v>
      </c>
      <c r="J338">
        <v>1985.4</v>
      </c>
    </row>
    <row r="339" spans="1:10" x14ac:dyDescent="0.25">
      <c r="A339">
        <v>338</v>
      </c>
      <c r="B339" s="1">
        <v>45718</v>
      </c>
      <c r="C339" t="s">
        <v>37</v>
      </c>
      <c r="D339" t="s">
        <v>11</v>
      </c>
      <c r="E339" t="s">
        <v>25</v>
      </c>
      <c r="F339" t="s">
        <v>13</v>
      </c>
      <c r="G339" t="s">
        <v>32</v>
      </c>
      <c r="H339">
        <v>19.3</v>
      </c>
      <c r="I339">
        <v>198</v>
      </c>
      <c r="J339">
        <v>3821.4</v>
      </c>
    </row>
    <row r="340" spans="1:10" x14ac:dyDescent="0.25">
      <c r="A340">
        <v>339</v>
      </c>
      <c r="B340" s="1">
        <v>45780</v>
      </c>
      <c r="C340" t="s">
        <v>37</v>
      </c>
      <c r="D340" t="s">
        <v>24</v>
      </c>
      <c r="E340" t="s">
        <v>22</v>
      </c>
      <c r="F340" t="s">
        <v>26</v>
      </c>
      <c r="G340" t="s">
        <v>32</v>
      </c>
      <c r="H340">
        <v>14.92</v>
      </c>
      <c r="I340">
        <v>77</v>
      </c>
      <c r="J340">
        <v>1148.8399999999999</v>
      </c>
    </row>
    <row r="341" spans="1:10" x14ac:dyDescent="0.25">
      <c r="A341">
        <v>340</v>
      </c>
      <c r="B341" s="1">
        <v>45791</v>
      </c>
      <c r="C341" t="s">
        <v>37</v>
      </c>
      <c r="D341" t="s">
        <v>21</v>
      </c>
      <c r="E341" t="s">
        <v>38</v>
      </c>
      <c r="F341" t="s">
        <v>26</v>
      </c>
      <c r="G341" t="s">
        <v>19</v>
      </c>
      <c r="H341">
        <v>10.59</v>
      </c>
      <c r="I341">
        <v>132</v>
      </c>
      <c r="J341">
        <v>1397.88</v>
      </c>
    </row>
    <row r="342" spans="1:10" x14ac:dyDescent="0.25">
      <c r="A342">
        <v>341</v>
      </c>
      <c r="B342" s="1">
        <v>45847</v>
      </c>
      <c r="C342" t="s">
        <v>20</v>
      </c>
      <c r="D342" t="s">
        <v>11</v>
      </c>
      <c r="E342" t="s">
        <v>31</v>
      </c>
      <c r="F342" t="s">
        <v>18</v>
      </c>
      <c r="G342" t="s">
        <v>32</v>
      </c>
      <c r="H342">
        <v>9.5399999999999991</v>
      </c>
      <c r="I342">
        <v>16</v>
      </c>
      <c r="J342">
        <v>152.63999999999999</v>
      </c>
    </row>
    <row r="343" spans="1:10" x14ac:dyDescent="0.25">
      <c r="A343">
        <v>342</v>
      </c>
      <c r="B343" s="1">
        <v>45941</v>
      </c>
      <c r="C343" t="s">
        <v>30</v>
      </c>
      <c r="D343" t="s">
        <v>24</v>
      </c>
      <c r="E343" t="s">
        <v>29</v>
      </c>
      <c r="F343" t="s">
        <v>13</v>
      </c>
      <c r="G343" t="s">
        <v>19</v>
      </c>
      <c r="H343">
        <v>23.53</v>
      </c>
      <c r="I343">
        <v>153</v>
      </c>
      <c r="J343">
        <v>3600.09</v>
      </c>
    </row>
    <row r="344" spans="1:10" x14ac:dyDescent="0.25">
      <c r="A344">
        <v>343</v>
      </c>
      <c r="B344" s="1">
        <v>45826</v>
      </c>
      <c r="C344" t="s">
        <v>27</v>
      </c>
      <c r="D344" t="s">
        <v>11</v>
      </c>
      <c r="E344" t="s">
        <v>38</v>
      </c>
      <c r="F344" t="s">
        <v>26</v>
      </c>
      <c r="G344" t="s">
        <v>32</v>
      </c>
      <c r="H344">
        <v>7.68</v>
      </c>
      <c r="I344">
        <v>150</v>
      </c>
      <c r="J344">
        <v>1152</v>
      </c>
    </row>
    <row r="345" spans="1:10" x14ac:dyDescent="0.25">
      <c r="A345">
        <v>344</v>
      </c>
      <c r="B345" s="1">
        <v>45908</v>
      </c>
      <c r="C345" t="s">
        <v>30</v>
      </c>
      <c r="D345" t="s">
        <v>24</v>
      </c>
      <c r="E345" t="s">
        <v>38</v>
      </c>
      <c r="F345" t="s">
        <v>13</v>
      </c>
      <c r="G345" t="s">
        <v>14</v>
      </c>
      <c r="H345">
        <v>24.25</v>
      </c>
      <c r="I345">
        <v>169</v>
      </c>
      <c r="J345">
        <v>4098.25</v>
      </c>
    </row>
    <row r="346" spans="1:10" x14ac:dyDescent="0.25">
      <c r="A346">
        <v>345</v>
      </c>
      <c r="B346" s="1">
        <v>45838</v>
      </c>
      <c r="C346" t="s">
        <v>20</v>
      </c>
      <c r="D346" t="s">
        <v>24</v>
      </c>
      <c r="E346" t="s">
        <v>31</v>
      </c>
      <c r="F346" t="s">
        <v>18</v>
      </c>
      <c r="G346" t="s">
        <v>14</v>
      </c>
      <c r="H346">
        <v>6.31</v>
      </c>
      <c r="I346">
        <v>189</v>
      </c>
      <c r="J346">
        <v>1192.5899999999999</v>
      </c>
    </row>
    <row r="347" spans="1:10" x14ac:dyDescent="0.25">
      <c r="A347">
        <v>346</v>
      </c>
      <c r="B347" s="1">
        <v>45675</v>
      </c>
      <c r="C347" t="s">
        <v>27</v>
      </c>
      <c r="D347" t="s">
        <v>33</v>
      </c>
      <c r="E347" t="s">
        <v>39</v>
      </c>
      <c r="F347" t="s">
        <v>18</v>
      </c>
      <c r="G347" t="s">
        <v>32</v>
      </c>
      <c r="H347">
        <v>21.38</v>
      </c>
      <c r="I347">
        <v>24</v>
      </c>
      <c r="J347">
        <v>513.12</v>
      </c>
    </row>
    <row r="348" spans="1:10" x14ac:dyDescent="0.25">
      <c r="A348">
        <v>347</v>
      </c>
      <c r="B348" s="1">
        <v>45728</v>
      </c>
      <c r="C348" t="s">
        <v>15</v>
      </c>
      <c r="D348" t="s">
        <v>33</v>
      </c>
      <c r="E348" t="s">
        <v>31</v>
      </c>
      <c r="F348" t="s">
        <v>18</v>
      </c>
      <c r="G348" t="s">
        <v>19</v>
      </c>
      <c r="H348">
        <v>21.46</v>
      </c>
      <c r="I348">
        <v>64</v>
      </c>
      <c r="J348">
        <v>1373.44</v>
      </c>
    </row>
    <row r="349" spans="1:10" x14ac:dyDescent="0.25">
      <c r="A349">
        <v>348</v>
      </c>
      <c r="B349" s="1">
        <v>45916</v>
      </c>
      <c r="C349" t="s">
        <v>20</v>
      </c>
      <c r="D349" t="s">
        <v>33</v>
      </c>
      <c r="E349" t="s">
        <v>25</v>
      </c>
      <c r="F349" t="s">
        <v>36</v>
      </c>
      <c r="G349" t="s">
        <v>14</v>
      </c>
      <c r="H349">
        <v>12.76</v>
      </c>
      <c r="I349">
        <v>20</v>
      </c>
      <c r="J349">
        <v>255.2</v>
      </c>
    </row>
    <row r="350" spans="1:10" x14ac:dyDescent="0.25">
      <c r="A350">
        <v>349</v>
      </c>
      <c r="B350" s="1">
        <v>45907</v>
      </c>
      <c r="C350" t="s">
        <v>20</v>
      </c>
      <c r="D350" t="s">
        <v>24</v>
      </c>
      <c r="E350" t="s">
        <v>39</v>
      </c>
      <c r="F350" t="s">
        <v>18</v>
      </c>
      <c r="G350" t="s">
        <v>14</v>
      </c>
      <c r="H350">
        <v>2.85</v>
      </c>
      <c r="I350">
        <v>141</v>
      </c>
      <c r="J350">
        <v>401.85</v>
      </c>
    </row>
    <row r="351" spans="1:10" x14ac:dyDescent="0.25">
      <c r="A351">
        <v>350</v>
      </c>
      <c r="B351" s="1">
        <v>45798</v>
      </c>
      <c r="C351" t="s">
        <v>15</v>
      </c>
      <c r="D351" t="s">
        <v>16</v>
      </c>
      <c r="E351" t="s">
        <v>17</v>
      </c>
      <c r="F351" t="s">
        <v>13</v>
      </c>
      <c r="G351" t="s">
        <v>19</v>
      </c>
      <c r="H351">
        <v>14.55</v>
      </c>
      <c r="I351">
        <v>78</v>
      </c>
      <c r="J351">
        <v>1134.9000000000001</v>
      </c>
    </row>
    <row r="352" spans="1:10" x14ac:dyDescent="0.25">
      <c r="A352">
        <v>351</v>
      </c>
      <c r="B352" s="1">
        <v>45707</v>
      </c>
      <c r="C352" t="s">
        <v>23</v>
      </c>
      <c r="D352" t="s">
        <v>16</v>
      </c>
      <c r="E352" t="s">
        <v>22</v>
      </c>
      <c r="F352" t="s">
        <v>26</v>
      </c>
      <c r="G352" t="s">
        <v>32</v>
      </c>
      <c r="H352">
        <v>14.3</v>
      </c>
      <c r="I352">
        <v>66</v>
      </c>
      <c r="J352">
        <v>943.8</v>
      </c>
    </row>
    <row r="353" spans="1:10" x14ac:dyDescent="0.25">
      <c r="A353">
        <v>352</v>
      </c>
      <c r="B353" s="1">
        <v>45794</v>
      </c>
      <c r="C353" t="s">
        <v>10</v>
      </c>
      <c r="D353" t="s">
        <v>24</v>
      </c>
      <c r="E353" t="s">
        <v>38</v>
      </c>
      <c r="F353" t="s">
        <v>13</v>
      </c>
      <c r="G353" t="s">
        <v>14</v>
      </c>
      <c r="H353">
        <v>20.39</v>
      </c>
      <c r="I353">
        <v>25</v>
      </c>
      <c r="J353">
        <v>509.75</v>
      </c>
    </row>
    <row r="354" spans="1:10" x14ac:dyDescent="0.25">
      <c r="A354">
        <v>353</v>
      </c>
      <c r="B354" s="1">
        <v>45773</v>
      </c>
      <c r="C354" t="s">
        <v>30</v>
      </c>
      <c r="D354" t="s">
        <v>33</v>
      </c>
      <c r="E354" t="s">
        <v>39</v>
      </c>
      <c r="F354" t="s">
        <v>18</v>
      </c>
      <c r="G354" t="s">
        <v>32</v>
      </c>
      <c r="H354">
        <v>9.25</v>
      </c>
      <c r="I354">
        <v>25</v>
      </c>
      <c r="J354">
        <v>231.25</v>
      </c>
    </row>
    <row r="355" spans="1:10" x14ac:dyDescent="0.25">
      <c r="A355">
        <v>354</v>
      </c>
      <c r="B355" s="1">
        <v>45852</v>
      </c>
      <c r="C355" t="s">
        <v>15</v>
      </c>
      <c r="D355" t="s">
        <v>33</v>
      </c>
      <c r="E355" t="s">
        <v>39</v>
      </c>
      <c r="F355" t="s">
        <v>13</v>
      </c>
      <c r="G355" t="s">
        <v>19</v>
      </c>
      <c r="H355">
        <v>10.99</v>
      </c>
      <c r="I355">
        <v>126</v>
      </c>
      <c r="J355">
        <v>1384.74</v>
      </c>
    </row>
    <row r="356" spans="1:10" x14ac:dyDescent="0.25">
      <c r="A356">
        <v>355</v>
      </c>
      <c r="B356" s="1">
        <v>45913</v>
      </c>
      <c r="C356" t="s">
        <v>27</v>
      </c>
      <c r="D356" t="s">
        <v>28</v>
      </c>
      <c r="E356" t="s">
        <v>25</v>
      </c>
      <c r="F356" t="s">
        <v>18</v>
      </c>
      <c r="G356" t="s">
        <v>14</v>
      </c>
      <c r="H356">
        <v>21.52</v>
      </c>
      <c r="I356">
        <v>170</v>
      </c>
      <c r="J356">
        <v>3658.4</v>
      </c>
    </row>
    <row r="357" spans="1:10" x14ac:dyDescent="0.25">
      <c r="A357">
        <v>356</v>
      </c>
      <c r="B357" s="1">
        <v>45679</v>
      </c>
      <c r="C357" t="s">
        <v>20</v>
      </c>
      <c r="D357" t="s">
        <v>24</v>
      </c>
      <c r="E357" t="s">
        <v>29</v>
      </c>
      <c r="F357" t="s">
        <v>18</v>
      </c>
      <c r="G357" t="s">
        <v>19</v>
      </c>
      <c r="H357">
        <v>7.67</v>
      </c>
      <c r="I357">
        <v>182</v>
      </c>
      <c r="J357">
        <v>1395.94</v>
      </c>
    </row>
    <row r="358" spans="1:10" x14ac:dyDescent="0.25">
      <c r="A358">
        <v>357</v>
      </c>
      <c r="B358" s="1">
        <v>46008</v>
      </c>
      <c r="C358" t="s">
        <v>20</v>
      </c>
      <c r="D358" t="s">
        <v>33</v>
      </c>
      <c r="E358" t="s">
        <v>39</v>
      </c>
      <c r="F358" t="s">
        <v>13</v>
      </c>
      <c r="G358" t="s">
        <v>32</v>
      </c>
      <c r="H358">
        <v>23.33</v>
      </c>
      <c r="I358">
        <v>144</v>
      </c>
      <c r="J358">
        <v>3359.52</v>
      </c>
    </row>
    <row r="359" spans="1:10" x14ac:dyDescent="0.25">
      <c r="A359">
        <v>358</v>
      </c>
      <c r="B359" s="1">
        <v>45666</v>
      </c>
      <c r="C359" t="s">
        <v>23</v>
      </c>
      <c r="D359" t="s">
        <v>33</v>
      </c>
      <c r="E359" t="s">
        <v>17</v>
      </c>
      <c r="F359" t="s">
        <v>18</v>
      </c>
      <c r="G359" t="s">
        <v>32</v>
      </c>
      <c r="H359">
        <v>24.13</v>
      </c>
      <c r="I359">
        <v>155</v>
      </c>
      <c r="J359">
        <v>3740.15</v>
      </c>
    </row>
    <row r="360" spans="1:10" x14ac:dyDescent="0.25">
      <c r="A360">
        <v>359</v>
      </c>
      <c r="B360" s="1">
        <v>45741</v>
      </c>
      <c r="C360" t="s">
        <v>27</v>
      </c>
      <c r="D360" t="s">
        <v>24</v>
      </c>
      <c r="E360" t="s">
        <v>22</v>
      </c>
      <c r="F360" t="s">
        <v>26</v>
      </c>
      <c r="G360" t="s">
        <v>32</v>
      </c>
      <c r="H360">
        <v>15.19</v>
      </c>
      <c r="I360">
        <v>150</v>
      </c>
      <c r="J360">
        <v>2278.5</v>
      </c>
    </row>
    <row r="361" spans="1:10" x14ac:dyDescent="0.25">
      <c r="A361">
        <v>360</v>
      </c>
      <c r="B361" s="1">
        <v>45729</v>
      </c>
      <c r="C361" t="s">
        <v>30</v>
      </c>
      <c r="D361" t="s">
        <v>21</v>
      </c>
      <c r="E361" t="s">
        <v>22</v>
      </c>
      <c r="F361" t="s">
        <v>26</v>
      </c>
      <c r="G361" t="s">
        <v>19</v>
      </c>
      <c r="H361">
        <v>20.29</v>
      </c>
      <c r="I361">
        <v>181</v>
      </c>
      <c r="J361">
        <v>3672.49</v>
      </c>
    </row>
    <row r="362" spans="1:10" x14ac:dyDescent="0.25">
      <c r="A362">
        <v>361</v>
      </c>
      <c r="B362" s="1">
        <v>45708</v>
      </c>
      <c r="C362" t="s">
        <v>10</v>
      </c>
      <c r="D362" t="s">
        <v>16</v>
      </c>
      <c r="E362" t="s">
        <v>25</v>
      </c>
      <c r="F362" t="s">
        <v>36</v>
      </c>
      <c r="G362" t="s">
        <v>32</v>
      </c>
      <c r="H362">
        <v>12.33</v>
      </c>
      <c r="I362">
        <v>24</v>
      </c>
      <c r="J362">
        <v>295.92</v>
      </c>
    </row>
    <row r="363" spans="1:10" x14ac:dyDescent="0.25">
      <c r="A363">
        <v>362</v>
      </c>
      <c r="B363" s="1">
        <v>45673</v>
      </c>
      <c r="C363" t="s">
        <v>37</v>
      </c>
      <c r="D363" t="s">
        <v>11</v>
      </c>
      <c r="E363" t="s">
        <v>35</v>
      </c>
      <c r="F363" t="s">
        <v>36</v>
      </c>
      <c r="G363" t="s">
        <v>32</v>
      </c>
      <c r="H363">
        <v>16.77</v>
      </c>
      <c r="I363">
        <v>120</v>
      </c>
      <c r="J363">
        <v>2012.4</v>
      </c>
    </row>
    <row r="364" spans="1:10" x14ac:dyDescent="0.25">
      <c r="A364">
        <v>363</v>
      </c>
      <c r="B364" s="1">
        <v>45753</v>
      </c>
      <c r="C364" t="s">
        <v>37</v>
      </c>
      <c r="D364" t="s">
        <v>21</v>
      </c>
      <c r="E364" t="s">
        <v>25</v>
      </c>
      <c r="F364" t="s">
        <v>26</v>
      </c>
      <c r="G364" t="s">
        <v>19</v>
      </c>
      <c r="H364">
        <v>17.79</v>
      </c>
      <c r="I364">
        <v>174</v>
      </c>
      <c r="J364">
        <v>3095.46</v>
      </c>
    </row>
    <row r="365" spans="1:10" x14ac:dyDescent="0.25">
      <c r="A365">
        <v>364</v>
      </c>
      <c r="B365" s="1">
        <v>45695</v>
      </c>
      <c r="C365" t="s">
        <v>37</v>
      </c>
      <c r="D365" t="s">
        <v>33</v>
      </c>
      <c r="E365" t="s">
        <v>31</v>
      </c>
      <c r="F365" t="s">
        <v>36</v>
      </c>
      <c r="G365" t="s">
        <v>32</v>
      </c>
      <c r="H365">
        <v>4.3499999999999996</v>
      </c>
      <c r="I365">
        <v>44</v>
      </c>
      <c r="J365">
        <v>191.4</v>
      </c>
    </row>
    <row r="366" spans="1:10" x14ac:dyDescent="0.25">
      <c r="A366">
        <v>365</v>
      </c>
      <c r="B366" s="1">
        <v>45842</v>
      </c>
      <c r="C366" t="s">
        <v>10</v>
      </c>
      <c r="D366" t="s">
        <v>24</v>
      </c>
      <c r="E366" t="s">
        <v>35</v>
      </c>
      <c r="F366" t="s">
        <v>26</v>
      </c>
      <c r="G366" t="s">
        <v>19</v>
      </c>
      <c r="H366">
        <v>4.9000000000000004</v>
      </c>
      <c r="I366">
        <v>6</v>
      </c>
      <c r="J366">
        <v>29.4</v>
      </c>
    </row>
    <row r="367" spans="1:10" x14ac:dyDescent="0.25">
      <c r="A367">
        <v>366</v>
      </c>
      <c r="B367" s="1">
        <v>45725</v>
      </c>
      <c r="C367" t="s">
        <v>37</v>
      </c>
      <c r="D367" t="s">
        <v>16</v>
      </c>
      <c r="E367" t="s">
        <v>22</v>
      </c>
      <c r="F367" t="s">
        <v>36</v>
      </c>
      <c r="G367" t="s">
        <v>19</v>
      </c>
      <c r="H367">
        <v>4.46</v>
      </c>
      <c r="I367">
        <v>115</v>
      </c>
      <c r="J367">
        <v>512.9</v>
      </c>
    </row>
    <row r="368" spans="1:10" x14ac:dyDescent="0.25">
      <c r="A368">
        <v>367</v>
      </c>
      <c r="B368" s="1">
        <v>45671</v>
      </c>
      <c r="C368" t="s">
        <v>15</v>
      </c>
      <c r="D368" t="s">
        <v>16</v>
      </c>
      <c r="E368" t="s">
        <v>25</v>
      </c>
      <c r="F368" t="s">
        <v>26</v>
      </c>
      <c r="G368" t="s">
        <v>32</v>
      </c>
      <c r="H368">
        <v>4.5199999999999996</v>
      </c>
      <c r="I368">
        <v>146</v>
      </c>
      <c r="J368">
        <v>659.92</v>
      </c>
    </row>
    <row r="369" spans="1:10" x14ac:dyDescent="0.25">
      <c r="A369">
        <v>368</v>
      </c>
      <c r="B369" s="1">
        <v>45664</v>
      </c>
      <c r="C369" t="s">
        <v>27</v>
      </c>
      <c r="D369" t="s">
        <v>21</v>
      </c>
      <c r="E369" t="s">
        <v>22</v>
      </c>
      <c r="F369" t="s">
        <v>13</v>
      </c>
      <c r="G369" t="s">
        <v>14</v>
      </c>
      <c r="H369">
        <v>9.07</v>
      </c>
      <c r="I369">
        <v>104</v>
      </c>
      <c r="J369">
        <v>943.28</v>
      </c>
    </row>
    <row r="370" spans="1:10" x14ac:dyDescent="0.25">
      <c r="A370">
        <v>369</v>
      </c>
      <c r="B370" s="1">
        <v>45924</v>
      </c>
      <c r="C370" t="s">
        <v>23</v>
      </c>
      <c r="D370" t="s">
        <v>11</v>
      </c>
      <c r="E370" t="s">
        <v>29</v>
      </c>
      <c r="F370" t="s">
        <v>26</v>
      </c>
      <c r="G370" t="s">
        <v>32</v>
      </c>
      <c r="H370">
        <v>6.32</v>
      </c>
      <c r="I370">
        <v>102</v>
      </c>
      <c r="J370">
        <v>644.64</v>
      </c>
    </row>
    <row r="371" spans="1:10" x14ac:dyDescent="0.25">
      <c r="A371">
        <v>370</v>
      </c>
      <c r="B371" s="1">
        <v>45910</v>
      </c>
      <c r="C371" t="s">
        <v>37</v>
      </c>
      <c r="D371" t="s">
        <v>28</v>
      </c>
      <c r="E371" t="s">
        <v>17</v>
      </c>
      <c r="F371" t="s">
        <v>26</v>
      </c>
      <c r="G371" t="s">
        <v>32</v>
      </c>
      <c r="H371">
        <v>5.78</v>
      </c>
      <c r="I371">
        <v>47</v>
      </c>
      <c r="J371">
        <v>271.66000000000003</v>
      </c>
    </row>
    <row r="372" spans="1:10" x14ac:dyDescent="0.25">
      <c r="A372">
        <v>371</v>
      </c>
      <c r="B372" s="1">
        <v>45697</v>
      </c>
      <c r="C372" t="s">
        <v>30</v>
      </c>
      <c r="D372" t="s">
        <v>33</v>
      </c>
      <c r="E372" t="s">
        <v>38</v>
      </c>
      <c r="F372" t="s">
        <v>13</v>
      </c>
      <c r="G372" t="s">
        <v>32</v>
      </c>
      <c r="H372">
        <v>10.63</v>
      </c>
      <c r="I372">
        <v>68</v>
      </c>
      <c r="J372">
        <v>722.84</v>
      </c>
    </row>
    <row r="373" spans="1:10" x14ac:dyDescent="0.25">
      <c r="A373">
        <v>372</v>
      </c>
      <c r="B373" s="1">
        <v>45712</v>
      </c>
      <c r="C373" t="s">
        <v>37</v>
      </c>
      <c r="D373" t="s">
        <v>28</v>
      </c>
      <c r="E373" t="s">
        <v>25</v>
      </c>
      <c r="F373" t="s">
        <v>36</v>
      </c>
      <c r="G373" t="s">
        <v>32</v>
      </c>
      <c r="H373">
        <v>5.55</v>
      </c>
      <c r="I373">
        <v>6</v>
      </c>
      <c r="J373">
        <v>33.299999999999997</v>
      </c>
    </row>
    <row r="374" spans="1:10" x14ac:dyDescent="0.25">
      <c r="A374">
        <v>373</v>
      </c>
      <c r="B374" s="1">
        <v>45883</v>
      </c>
      <c r="C374" t="s">
        <v>20</v>
      </c>
      <c r="D374" t="s">
        <v>11</v>
      </c>
      <c r="E374" t="s">
        <v>29</v>
      </c>
      <c r="F374" t="s">
        <v>26</v>
      </c>
      <c r="G374" t="s">
        <v>14</v>
      </c>
      <c r="H374">
        <v>10.029999999999999</v>
      </c>
      <c r="I374">
        <v>171</v>
      </c>
      <c r="J374">
        <v>1715.13</v>
      </c>
    </row>
    <row r="375" spans="1:10" x14ac:dyDescent="0.25">
      <c r="A375">
        <v>374</v>
      </c>
      <c r="B375" s="1">
        <v>46013</v>
      </c>
      <c r="C375" t="s">
        <v>23</v>
      </c>
      <c r="D375" t="s">
        <v>24</v>
      </c>
      <c r="E375" t="s">
        <v>35</v>
      </c>
      <c r="F375" t="s">
        <v>26</v>
      </c>
      <c r="G375" t="s">
        <v>14</v>
      </c>
      <c r="H375">
        <v>7.02</v>
      </c>
      <c r="I375">
        <v>85</v>
      </c>
      <c r="J375">
        <v>596.70000000000005</v>
      </c>
    </row>
    <row r="376" spans="1:10" x14ac:dyDescent="0.25">
      <c r="A376">
        <v>375</v>
      </c>
      <c r="B376" s="1">
        <v>46013</v>
      </c>
      <c r="C376" t="s">
        <v>27</v>
      </c>
      <c r="D376" t="s">
        <v>11</v>
      </c>
      <c r="E376" t="s">
        <v>35</v>
      </c>
      <c r="F376" t="s">
        <v>36</v>
      </c>
      <c r="G376" t="s">
        <v>32</v>
      </c>
      <c r="H376">
        <v>16.739999999999998</v>
      </c>
      <c r="I376">
        <v>152</v>
      </c>
      <c r="J376">
        <v>2544.48</v>
      </c>
    </row>
    <row r="377" spans="1:10" x14ac:dyDescent="0.25">
      <c r="A377">
        <v>376</v>
      </c>
      <c r="B377" s="1">
        <v>45859</v>
      </c>
      <c r="C377" t="s">
        <v>23</v>
      </c>
      <c r="D377" t="s">
        <v>16</v>
      </c>
      <c r="E377" t="s">
        <v>22</v>
      </c>
      <c r="F377" t="s">
        <v>13</v>
      </c>
      <c r="G377" t="s">
        <v>14</v>
      </c>
      <c r="H377">
        <v>10.71</v>
      </c>
      <c r="I377">
        <v>149</v>
      </c>
      <c r="J377">
        <v>1595.79</v>
      </c>
    </row>
    <row r="378" spans="1:10" x14ac:dyDescent="0.25">
      <c r="A378">
        <v>377</v>
      </c>
      <c r="B378" s="1">
        <v>45939</v>
      </c>
      <c r="C378" t="s">
        <v>37</v>
      </c>
      <c r="D378" t="s">
        <v>33</v>
      </c>
      <c r="E378" t="s">
        <v>12</v>
      </c>
      <c r="F378" t="s">
        <v>36</v>
      </c>
      <c r="G378" t="s">
        <v>32</v>
      </c>
      <c r="H378">
        <v>3.11</v>
      </c>
      <c r="I378">
        <v>191</v>
      </c>
      <c r="J378">
        <v>594.01</v>
      </c>
    </row>
    <row r="379" spans="1:10" x14ac:dyDescent="0.25">
      <c r="A379">
        <v>378</v>
      </c>
      <c r="B379" s="1">
        <v>46012</v>
      </c>
      <c r="C379" t="s">
        <v>30</v>
      </c>
      <c r="D379" t="s">
        <v>24</v>
      </c>
      <c r="E379" t="s">
        <v>31</v>
      </c>
      <c r="F379" t="s">
        <v>26</v>
      </c>
      <c r="G379" t="s">
        <v>19</v>
      </c>
      <c r="H379">
        <v>4.0599999999999996</v>
      </c>
      <c r="I379">
        <v>109</v>
      </c>
      <c r="J379">
        <v>442.54</v>
      </c>
    </row>
    <row r="380" spans="1:10" x14ac:dyDescent="0.25">
      <c r="A380">
        <v>379</v>
      </c>
      <c r="B380" s="1">
        <v>45787</v>
      </c>
      <c r="C380" t="s">
        <v>37</v>
      </c>
      <c r="D380" t="s">
        <v>24</v>
      </c>
      <c r="E380" t="s">
        <v>34</v>
      </c>
      <c r="F380" t="s">
        <v>36</v>
      </c>
      <c r="G380" t="s">
        <v>14</v>
      </c>
      <c r="H380">
        <v>17.32</v>
      </c>
      <c r="I380">
        <v>188</v>
      </c>
      <c r="J380">
        <v>3256.16</v>
      </c>
    </row>
    <row r="381" spans="1:10" x14ac:dyDescent="0.25">
      <c r="A381">
        <v>380</v>
      </c>
      <c r="B381" s="1">
        <v>45903</v>
      </c>
      <c r="C381" t="s">
        <v>20</v>
      </c>
      <c r="D381" t="s">
        <v>33</v>
      </c>
      <c r="E381" t="s">
        <v>17</v>
      </c>
      <c r="F381" t="s">
        <v>18</v>
      </c>
      <c r="G381" t="s">
        <v>32</v>
      </c>
      <c r="H381">
        <v>15.6</v>
      </c>
      <c r="I381">
        <v>141</v>
      </c>
      <c r="J381">
        <v>2199.6</v>
      </c>
    </row>
    <row r="382" spans="1:10" x14ac:dyDescent="0.25">
      <c r="A382">
        <v>381</v>
      </c>
      <c r="B382" s="1">
        <v>46017</v>
      </c>
      <c r="C382" t="s">
        <v>20</v>
      </c>
      <c r="D382" t="s">
        <v>33</v>
      </c>
      <c r="E382" t="s">
        <v>34</v>
      </c>
      <c r="F382" t="s">
        <v>18</v>
      </c>
      <c r="G382" t="s">
        <v>19</v>
      </c>
      <c r="H382">
        <v>22.65</v>
      </c>
      <c r="I382">
        <v>142</v>
      </c>
      <c r="J382">
        <v>3216.3</v>
      </c>
    </row>
    <row r="383" spans="1:10" x14ac:dyDescent="0.25">
      <c r="A383">
        <v>382</v>
      </c>
      <c r="B383" s="1">
        <v>45994</v>
      </c>
      <c r="C383" t="s">
        <v>30</v>
      </c>
      <c r="D383" t="s">
        <v>16</v>
      </c>
      <c r="E383" t="s">
        <v>39</v>
      </c>
      <c r="F383" t="s">
        <v>36</v>
      </c>
      <c r="G383" t="s">
        <v>32</v>
      </c>
      <c r="H383">
        <v>17.46</v>
      </c>
      <c r="I383">
        <v>47</v>
      </c>
      <c r="J383">
        <v>820.62</v>
      </c>
    </row>
    <row r="384" spans="1:10" x14ac:dyDescent="0.25">
      <c r="A384">
        <v>383</v>
      </c>
      <c r="B384" s="1">
        <v>45878</v>
      </c>
      <c r="C384" t="s">
        <v>10</v>
      </c>
      <c r="D384" t="s">
        <v>11</v>
      </c>
      <c r="E384" t="s">
        <v>22</v>
      </c>
      <c r="F384" t="s">
        <v>13</v>
      </c>
      <c r="G384" t="s">
        <v>32</v>
      </c>
      <c r="H384">
        <v>4.88</v>
      </c>
      <c r="I384">
        <v>30</v>
      </c>
      <c r="J384">
        <v>146.4</v>
      </c>
    </row>
    <row r="385" spans="1:10" x14ac:dyDescent="0.25">
      <c r="A385">
        <v>384</v>
      </c>
      <c r="B385" s="1">
        <v>45849</v>
      </c>
      <c r="C385" t="s">
        <v>20</v>
      </c>
      <c r="D385" t="s">
        <v>33</v>
      </c>
      <c r="E385" t="s">
        <v>22</v>
      </c>
      <c r="F385" t="s">
        <v>13</v>
      </c>
      <c r="G385" t="s">
        <v>32</v>
      </c>
      <c r="H385">
        <v>11.3</v>
      </c>
      <c r="I385">
        <v>178</v>
      </c>
      <c r="J385">
        <v>2011.4</v>
      </c>
    </row>
    <row r="386" spans="1:10" x14ac:dyDescent="0.25">
      <c r="A386">
        <v>385</v>
      </c>
      <c r="B386" s="1">
        <v>45670</v>
      </c>
      <c r="C386" t="s">
        <v>37</v>
      </c>
      <c r="D386" t="s">
        <v>21</v>
      </c>
      <c r="E386" t="s">
        <v>34</v>
      </c>
      <c r="F386" t="s">
        <v>13</v>
      </c>
      <c r="G386" t="s">
        <v>32</v>
      </c>
      <c r="H386">
        <v>13.36</v>
      </c>
      <c r="I386">
        <v>80</v>
      </c>
      <c r="J386">
        <v>1068.8</v>
      </c>
    </row>
    <row r="387" spans="1:10" x14ac:dyDescent="0.25">
      <c r="A387">
        <v>386</v>
      </c>
      <c r="B387" s="1">
        <v>45817</v>
      </c>
      <c r="C387" t="s">
        <v>20</v>
      </c>
      <c r="D387" t="s">
        <v>24</v>
      </c>
      <c r="E387" t="s">
        <v>35</v>
      </c>
      <c r="F387" t="s">
        <v>36</v>
      </c>
      <c r="G387" t="s">
        <v>19</v>
      </c>
      <c r="H387">
        <v>10.220000000000001</v>
      </c>
      <c r="I387">
        <v>57</v>
      </c>
      <c r="J387">
        <v>582.54</v>
      </c>
    </row>
    <row r="388" spans="1:10" x14ac:dyDescent="0.25">
      <c r="A388">
        <v>387</v>
      </c>
      <c r="B388" s="1">
        <v>45882</v>
      </c>
      <c r="C388" t="s">
        <v>10</v>
      </c>
      <c r="D388" t="s">
        <v>21</v>
      </c>
      <c r="E388" t="s">
        <v>29</v>
      </c>
      <c r="F388" t="s">
        <v>18</v>
      </c>
      <c r="G388" t="s">
        <v>14</v>
      </c>
      <c r="H388">
        <v>18.739999999999998</v>
      </c>
      <c r="I388">
        <v>120</v>
      </c>
      <c r="J388">
        <v>2248.8000000000002</v>
      </c>
    </row>
    <row r="389" spans="1:10" x14ac:dyDescent="0.25">
      <c r="A389">
        <v>388</v>
      </c>
      <c r="B389" s="1">
        <v>45716</v>
      </c>
      <c r="C389" t="s">
        <v>30</v>
      </c>
      <c r="D389" t="s">
        <v>21</v>
      </c>
      <c r="E389" t="s">
        <v>31</v>
      </c>
      <c r="F389" t="s">
        <v>13</v>
      </c>
      <c r="G389" t="s">
        <v>14</v>
      </c>
      <c r="H389">
        <v>3.01</v>
      </c>
      <c r="I389">
        <v>92</v>
      </c>
      <c r="J389">
        <v>276.92</v>
      </c>
    </row>
    <row r="390" spans="1:10" x14ac:dyDescent="0.25">
      <c r="A390">
        <v>389</v>
      </c>
      <c r="B390" s="1">
        <v>45747</v>
      </c>
      <c r="C390" t="s">
        <v>20</v>
      </c>
      <c r="D390" t="s">
        <v>24</v>
      </c>
      <c r="E390" t="s">
        <v>38</v>
      </c>
      <c r="F390" t="s">
        <v>13</v>
      </c>
      <c r="G390" t="s">
        <v>32</v>
      </c>
      <c r="H390">
        <v>14.92</v>
      </c>
      <c r="I390">
        <v>89</v>
      </c>
      <c r="J390">
        <v>1327.88</v>
      </c>
    </row>
    <row r="391" spans="1:10" x14ac:dyDescent="0.25">
      <c r="A391">
        <v>390</v>
      </c>
      <c r="B391" s="1">
        <v>45980</v>
      </c>
      <c r="C391" t="s">
        <v>30</v>
      </c>
      <c r="D391" t="s">
        <v>24</v>
      </c>
      <c r="E391" t="s">
        <v>17</v>
      </c>
      <c r="F391" t="s">
        <v>18</v>
      </c>
      <c r="G391" t="s">
        <v>14</v>
      </c>
      <c r="H391">
        <v>6.65</v>
      </c>
      <c r="I391">
        <v>168</v>
      </c>
      <c r="J391">
        <v>1117.2</v>
      </c>
    </row>
    <row r="392" spans="1:10" x14ac:dyDescent="0.25">
      <c r="A392">
        <v>391</v>
      </c>
      <c r="B392" s="1">
        <v>45972</v>
      </c>
      <c r="C392" t="s">
        <v>20</v>
      </c>
      <c r="D392" t="s">
        <v>24</v>
      </c>
      <c r="E392" t="s">
        <v>17</v>
      </c>
      <c r="F392" t="s">
        <v>18</v>
      </c>
      <c r="G392" t="s">
        <v>14</v>
      </c>
      <c r="H392">
        <v>22.37</v>
      </c>
      <c r="I392">
        <v>120</v>
      </c>
      <c r="J392">
        <v>2684.4</v>
      </c>
    </row>
    <row r="393" spans="1:10" x14ac:dyDescent="0.25">
      <c r="A393">
        <v>392</v>
      </c>
      <c r="B393" s="1">
        <v>45767</v>
      </c>
      <c r="C393" t="s">
        <v>30</v>
      </c>
      <c r="D393" t="s">
        <v>21</v>
      </c>
      <c r="E393" t="s">
        <v>25</v>
      </c>
      <c r="F393" t="s">
        <v>18</v>
      </c>
      <c r="G393" t="s">
        <v>14</v>
      </c>
      <c r="H393">
        <v>7.13</v>
      </c>
      <c r="I393">
        <v>197</v>
      </c>
      <c r="J393">
        <v>1404.61</v>
      </c>
    </row>
    <row r="394" spans="1:10" x14ac:dyDescent="0.25">
      <c r="A394">
        <v>393</v>
      </c>
      <c r="B394" s="1">
        <v>45753</v>
      </c>
      <c r="C394" t="s">
        <v>37</v>
      </c>
      <c r="D394" t="s">
        <v>21</v>
      </c>
      <c r="E394" t="s">
        <v>29</v>
      </c>
      <c r="F394" t="s">
        <v>36</v>
      </c>
      <c r="G394" t="s">
        <v>14</v>
      </c>
      <c r="H394">
        <v>10.73</v>
      </c>
      <c r="I394">
        <v>55</v>
      </c>
      <c r="J394">
        <v>590.15</v>
      </c>
    </row>
    <row r="395" spans="1:10" x14ac:dyDescent="0.25">
      <c r="A395">
        <v>394</v>
      </c>
      <c r="B395" s="1">
        <v>45985</v>
      </c>
      <c r="C395" t="s">
        <v>20</v>
      </c>
      <c r="D395" t="s">
        <v>24</v>
      </c>
      <c r="E395" t="s">
        <v>25</v>
      </c>
      <c r="F395" t="s">
        <v>18</v>
      </c>
      <c r="G395" t="s">
        <v>32</v>
      </c>
      <c r="H395">
        <v>9.5500000000000007</v>
      </c>
      <c r="I395">
        <v>104</v>
      </c>
      <c r="J395">
        <v>993.2</v>
      </c>
    </row>
    <row r="396" spans="1:10" x14ac:dyDescent="0.25">
      <c r="A396">
        <v>395</v>
      </c>
      <c r="B396" s="1">
        <v>45838</v>
      </c>
      <c r="C396" t="s">
        <v>23</v>
      </c>
      <c r="D396" t="s">
        <v>33</v>
      </c>
      <c r="E396" t="s">
        <v>29</v>
      </c>
      <c r="F396" t="s">
        <v>18</v>
      </c>
      <c r="G396" t="s">
        <v>14</v>
      </c>
      <c r="H396">
        <v>21.52</v>
      </c>
      <c r="I396">
        <v>163</v>
      </c>
      <c r="J396">
        <v>3507.76</v>
      </c>
    </row>
    <row r="397" spans="1:10" x14ac:dyDescent="0.25">
      <c r="A397">
        <v>396</v>
      </c>
      <c r="B397" s="1">
        <v>45726</v>
      </c>
      <c r="C397" t="s">
        <v>10</v>
      </c>
      <c r="D397" t="s">
        <v>21</v>
      </c>
      <c r="E397" t="s">
        <v>31</v>
      </c>
      <c r="F397" t="s">
        <v>26</v>
      </c>
      <c r="G397" t="s">
        <v>14</v>
      </c>
      <c r="H397">
        <v>9.5500000000000007</v>
      </c>
      <c r="I397">
        <v>66</v>
      </c>
      <c r="J397">
        <v>630.29999999999995</v>
      </c>
    </row>
    <row r="398" spans="1:10" x14ac:dyDescent="0.25">
      <c r="A398">
        <v>397</v>
      </c>
      <c r="B398" s="1">
        <v>45730</v>
      </c>
      <c r="C398" t="s">
        <v>20</v>
      </c>
      <c r="D398" t="s">
        <v>11</v>
      </c>
      <c r="E398" t="s">
        <v>25</v>
      </c>
      <c r="F398" t="s">
        <v>36</v>
      </c>
      <c r="G398" t="s">
        <v>32</v>
      </c>
      <c r="H398">
        <v>13.99</v>
      </c>
      <c r="I398">
        <v>112</v>
      </c>
      <c r="J398">
        <v>1566.88</v>
      </c>
    </row>
    <row r="399" spans="1:10" x14ac:dyDescent="0.25">
      <c r="A399">
        <v>398</v>
      </c>
      <c r="B399" s="1">
        <v>45753</v>
      </c>
      <c r="C399" t="s">
        <v>30</v>
      </c>
      <c r="D399" t="s">
        <v>33</v>
      </c>
      <c r="E399" t="s">
        <v>31</v>
      </c>
      <c r="F399" t="s">
        <v>13</v>
      </c>
      <c r="G399" t="s">
        <v>32</v>
      </c>
      <c r="H399">
        <v>13.45</v>
      </c>
      <c r="I399">
        <v>142</v>
      </c>
      <c r="J399">
        <v>1909.9</v>
      </c>
    </row>
    <row r="400" spans="1:10" x14ac:dyDescent="0.25">
      <c r="A400">
        <v>399</v>
      </c>
      <c r="B400" s="1">
        <v>45805</v>
      </c>
      <c r="C400" t="s">
        <v>27</v>
      </c>
      <c r="D400" t="s">
        <v>24</v>
      </c>
      <c r="E400" t="s">
        <v>25</v>
      </c>
      <c r="F400" t="s">
        <v>18</v>
      </c>
      <c r="G400" t="s">
        <v>32</v>
      </c>
      <c r="H400">
        <v>5.66</v>
      </c>
      <c r="I400">
        <v>85</v>
      </c>
      <c r="J400">
        <v>481.1</v>
      </c>
    </row>
    <row r="401" spans="1:10" x14ac:dyDescent="0.25">
      <c r="A401">
        <v>400</v>
      </c>
      <c r="B401" s="1">
        <v>45662</v>
      </c>
      <c r="C401" t="s">
        <v>27</v>
      </c>
      <c r="D401" t="s">
        <v>24</v>
      </c>
      <c r="E401" t="s">
        <v>22</v>
      </c>
      <c r="F401" t="s">
        <v>36</v>
      </c>
      <c r="G401" t="s">
        <v>32</v>
      </c>
      <c r="H401">
        <v>13.4</v>
      </c>
      <c r="I401">
        <v>54</v>
      </c>
      <c r="J401">
        <v>723.6</v>
      </c>
    </row>
    <row r="402" spans="1:10" x14ac:dyDescent="0.25">
      <c r="A402">
        <v>401</v>
      </c>
      <c r="B402" s="1">
        <v>46008</v>
      </c>
      <c r="C402" t="s">
        <v>27</v>
      </c>
      <c r="D402" t="s">
        <v>24</v>
      </c>
      <c r="E402" t="s">
        <v>38</v>
      </c>
      <c r="F402" t="s">
        <v>13</v>
      </c>
      <c r="G402" t="s">
        <v>19</v>
      </c>
      <c r="H402">
        <v>13.56</v>
      </c>
      <c r="I402">
        <v>186</v>
      </c>
      <c r="J402">
        <v>2522.16</v>
      </c>
    </row>
    <row r="403" spans="1:10" x14ac:dyDescent="0.25">
      <c r="A403">
        <v>402</v>
      </c>
      <c r="B403" s="1">
        <v>45947</v>
      </c>
      <c r="C403" t="s">
        <v>23</v>
      </c>
      <c r="D403" t="s">
        <v>28</v>
      </c>
      <c r="E403" t="s">
        <v>39</v>
      </c>
      <c r="F403" t="s">
        <v>26</v>
      </c>
      <c r="G403" t="s">
        <v>19</v>
      </c>
      <c r="H403">
        <v>3.19</v>
      </c>
      <c r="I403">
        <v>199</v>
      </c>
      <c r="J403">
        <v>634.80999999999995</v>
      </c>
    </row>
    <row r="404" spans="1:10" x14ac:dyDescent="0.25">
      <c r="A404">
        <v>403</v>
      </c>
      <c r="B404" s="1">
        <v>45933</v>
      </c>
      <c r="C404" t="s">
        <v>20</v>
      </c>
      <c r="D404" t="s">
        <v>33</v>
      </c>
      <c r="E404" t="s">
        <v>38</v>
      </c>
      <c r="F404" t="s">
        <v>18</v>
      </c>
      <c r="G404" t="s">
        <v>14</v>
      </c>
      <c r="H404">
        <v>9</v>
      </c>
      <c r="I404">
        <v>122</v>
      </c>
      <c r="J404">
        <v>1098</v>
      </c>
    </row>
    <row r="405" spans="1:10" x14ac:dyDescent="0.25">
      <c r="A405">
        <v>404</v>
      </c>
      <c r="B405" s="1">
        <v>45716</v>
      </c>
      <c r="C405" t="s">
        <v>27</v>
      </c>
      <c r="D405" t="s">
        <v>28</v>
      </c>
      <c r="E405" t="s">
        <v>22</v>
      </c>
      <c r="F405" t="s">
        <v>18</v>
      </c>
      <c r="G405" t="s">
        <v>14</v>
      </c>
      <c r="H405">
        <v>8.5299999999999994</v>
      </c>
      <c r="I405">
        <v>144</v>
      </c>
      <c r="J405">
        <v>1228.32</v>
      </c>
    </row>
    <row r="406" spans="1:10" x14ac:dyDescent="0.25">
      <c r="A406">
        <v>405</v>
      </c>
      <c r="B406" s="1">
        <v>45883</v>
      </c>
      <c r="C406" t="s">
        <v>15</v>
      </c>
      <c r="D406" t="s">
        <v>33</v>
      </c>
      <c r="E406" t="s">
        <v>12</v>
      </c>
      <c r="F406" t="s">
        <v>26</v>
      </c>
      <c r="G406" t="s">
        <v>19</v>
      </c>
      <c r="H406">
        <v>14.79</v>
      </c>
      <c r="I406">
        <v>113</v>
      </c>
      <c r="J406">
        <v>1671.27</v>
      </c>
    </row>
    <row r="407" spans="1:10" x14ac:dyDescent="0.25">
      <c r="A407">
        <v>406</v>
      </c>
      <c r="B407" s="1">
        <v>45888</v>
      </c>
      <c r="C407" t="s">
        <v>37</v>
      </c>
      <c r="D407" t="s">
        <v>21</v>
      </c>
      <c r="E407" t="s">
        <v>12</v>
      </c>
      <c r="F407" t="s">
        <v>13</v>
      </c>
      <c r="G407" t="s">
        <v>14</v>
      </c>
      <c r="H407">
        <v>8.41</v>
      </c>
      <c r="I407">
        <v>27</v>
      </c>
      <c r="J407">
        <v>227.07</v>
      </c>
    </row>
    <row r="408" spans="1:10" x14ac:dyDescent="0.25">
      <c r="A408">
        <v>407</v>
      </c>
      <c r="B408" s="1">
        <v>45959</v>
      </c>
      <c r="C408" t="s">
        <v>20</v>
      </c>
      <c r="D408" t="s">
        <v>33</v>
      </c>
      <c r="E408" t="s">
        <v>17</v>
      </c>
      <c r="F408" t="s">
        <v>13</v>
      </c>
      <c r="G408" t="s">
        <v>14</v>
      </c>
      <c r="H408">
        <v>18.010000000000002</v>
      </c>
      <c r="I408">
        <v>186</v>
      </c>
      <c r="J408">
        <v>3349.86</v>
      </c>
    </row>
    <row r="409" spans="1:10" x14ac:dyDescent="0.25">
      <c r="A409">
        <v>408</v>
      </c>
      <c r="B409" s="1">
        <v>45729</v>
      </c>
      <c r="C409" t="s">
        <v>27</v>
      </c>
      <c r="D409" t="s">
        <v>21</v>
      </c>
      <c r="E409" t="s">
        <v>25</v>
      </c>
      <c r="F409" t="s">
        <v>26</v>
      </c>
      <c r="G409" t="s">
        <v>14</v>
      </c>
      <c r="H409">
        <v>20.16</v>
      </c>
      <c r="I409">
        <v>57</v>
      </c>
      <c r="J409">
        <v>1149.1199999999999</v>
      </c>
    </row>
    <row r="410" spans="1:10" x14ac:dyDescent="0.25">
      <c r="A410">
        <v>409</v>
      </c>
      <c r="B410" s="1">
        <v>45801</v>
      </c>
      <c r="C410" t="s">
        <v>10</v>
      </c>
      <c r="D410" t="s">
        <v>33</v>
      </c>
      <c r="E410" t="s">
        <v>29</v>
      </c>
      <c r="F410" t="s">
        <v>26</v>
      </c>
      <c r="G410" t="s">
        <v>14</v>
      </c>
      <c r="H410">
        <v>15.93</v>
      </c>
      <c r="I410">
        <v>48</v>
      </c>
      <c r="J410">
        <v>764.64</v>
      </c>
    </row>
    <row r="411" spans="1:10" x14ac:dyDescent="0.25">
      <c r="A411">
        <v>410</v>
      </c>
      <c r="B411" s="1">
        <v>45794</v>
      </c>
      <c r="C411" t="s">
        <v>30</v>
      </c>
      <c r="D411" t="s">
        <v>21</v>
      </c>
      <c r="E411" t="s">
        <v>31</v>
      </c>
      <c r="F411" t="s">
        <v>36</v>
      </c>
      <c r="G411" t="s">
        <v>19</v>
      </c>
      <c r="H411">
        <v>23.93</v>
      </c>
      <c r="I411">
        <v>136</v>
      </c>
      <c r="J411">
        <v>3254.48</v>
      </c>
    </row>
    <row r="412" spans="1:10" x14ac:dyDescent="0.25">
      <c r="A412">
        <v>411</v>
      </c>
      <c r="B412" s="1">
        <v>45799</v>
      </c>
      <c r="C412" t="s">
        <v>30</v>
      </c>
      <c r="D412" t="s">
        <v>11</v>
      </c>
      <c r="E412" t="s">
        <v>12</v>
      </c>
      <c r="F412" t="s">
        <v>13</v>
      </c>
      <c r="G412" t="s">
        <v>14</v>
      </c>
      <c r="H412">
        <v>22.01</v>
      </c>
      <c r="I412">
        <v>37</v>
      </c>
      <c r="J412">
        <v>814.37</v>
      </c>
    </row>
    <row r="413" spans="1:10" x14ac:dyDescent="0.25">
      <c r="A413">
        <v>412</v>
      </c>
      <c r="B413" s="1">
        <v>45822</v>
      </c>
      <c r="C413" t="s">
        <v>27</v>
      </c>
      <c r="D413" t="s">
        <v>33</v>
      </c>
      <c r="E413" t="s">
        <v>17</v>
      </c>
      <c r="F413" t="s">
        <v>36</v>
      </c>
      <c r="G413" t="s">
        <v>19</v>
      </c>
      <c r="H413">
        <v>21.14</v>
      </c>
      <c r="I413">
        <v>199</v>
      </c>
      <c r="J413">
        <v>4206.8599999999997</v>
      </c>
    </row>
    <row r="414" spans="1:10" x14ac:dyDescent="0.25">
      <c r="A414">
        <v>413</v>
      </c>
      <c r="B414" s="1">
        <v>45953</v>
      </c>
      <c r="C414" t="s">
        <v>37</v>
      </c>
      <c r="D414" t="s">
        <v>24</v>
      </c>
      <c r="E414" t="s">
        <v>38</v>
      </c>
      <c r="F414" t="s">
        <v>18</v>
      </c>
      <c r="G414" t="s">
        <v>14</v>
      </c>
      <c r="H414">
        <v>16.73</v>
      </c>
      <c r="I414">
        <v>165</v>
      </c>
      <c r="J414">
        <v>2760.45</v>
      </c>
    </row>
    <row r="415" spans="1:10" x14ac:dyDescent="0.25">
      <c r="A415">
        <v>414</v>
      </c>
      <c r="B415" s="1">
        <v>45705</v>
      </c>
      <c r="C415" t="s">
        <v>10</v>
      </c>
      <c r="D415" t="s">
        <v>33</v>
      </c>
      <c r="E415" t="s">
        <v>35</v>
      </c>
      <c r="F415" t="s">
        <v>36</v>
      </c>
      <c r="G415" t="s">
        <v>32</v>
      </c>
      <c r="H415">
        <v>11.56</v>
      </c>
      <c r="I415">
        <v>196</v>
      </c>
      <c r="J415">
        <v>2265.7600000000002</v>
      </c>
    </row>
    <row r="416" spans="1:10" x14ac:dyDescent="0.25">
      <c r="A416">
        <v>415</v>
      </c>
      <c r="B416" s="1">
        <v>45825</v>
      </c>
      <c r="C416" t="s">
        <v>15</v>
      </c>
      <c r="D416" t="s">
        <v>33</v>
      </c>
      <c r="E416" t="s">
        <v>38</v>
      </c>
      <c r="F416" t="s">
        <v>26</v>
      </c>
      <c r="G416" t="s">
        <v>19</v>
      </c>
      <c r="H416">
        <v>15.59</v>
      </c>
      <c r="I416">
        <v>192</v>
      </c>
      <c r="J416">
        <v>2993.28</v>
      </c>
    </row>
    <row r="417" spans="1:10" x14ac:dyDescent="0.25">
      <c r="A417">
        <v>416</v>
      </c>
      <c r="B417" s="1">
        <v>45931</v>
      </c>
      <c r="C417" t="s">
        <v>27</v>
      </c>
      <c r="D417" t="s">
        <v>11</v>
      </c>
      <c r="E417" t="s">
        <v>38</v>
      </c>
      <c r="F417" t="s">
        <v>26</v>
      </c>
      <c r="G417" t="s">
        <v>32</v>
      </c>
      <c r="H417">
        <v>11.45</v>
      </c>
      <c r="I417">
        <v>114</v>
      </c>
      <c r="J417">
        <v>1305.3</v>
      </c>
    </row>
    <row r="418" spans="1:10" x14ac:dyDescent="0.25">
      <c r="A418">
        <v>417</v>
      </c>
      <c r="B418" s="1">
        <v>45803</v>
      </c>
      <c r="C418" t="s">
        <v>23</v>
      </c>
      <c r="D418" t="s">
        <v>16</v>
      </c>
      <c r="E418" t="s">
        <v>38</v>
      </c>
      <c r="F418" t="s">
        <v>26</v>
      </c>
      <c r="G418" t="s">
        <v>14</v>
      </c>
      <c r="H418">
        <v>10.1</v>
      </c>
      <c r="I418">
        <v>152</v>
      </c>
      <c r="J418">
        <v>1535.2</v>
      </c>
    </row>
    <row r="419" spans="1:10" x14ac:dyDescent="0.25">
      <c r="A419">
        <v>418</v>
      </c>
      <c r="B419" s="1">
        <v>45682</v>
      </c>
      <c r="C419" t="s">
        <v>27</v>
      </c>
      <c r="D419" t="s">
        <v>24</v>
      </c>
      <c r="E419" t="s">
        <v>39</v>
      </c>
      <c r="F419" t="s">
        <v>18</v>
      </c>
      <c r="G419" t="s">
        <v>19</v>
      </c>
      <c r="H419">
        <v>3.53</v>
      </c>
      <c r="I419">
        <v>165</v>
      </c>
      <c r="J419">
        <v>582.45000000000005</v>
      </c>
    </row>
    <row r="420" spans="1:10" x14ac:dyDescent="0.25">
      <c r="A420">
        <v>419</v>
      </c>
      <c r="B420" s="1">
        <v>45883</v>
      </c>
      <c r="C420" t="s">
        <v>23</v>
      </c>
      <c r="D420" t="s">
        <v>33</v>
      </c>
      <c r="E420" t="s">
        <v>31</v>
      </c>
      <c r="F420" t="s">
        <v>26</v>
      </c>
      <c r="G420" t="s">
        <v>19</v>
      </c>
      <c r="H420">
        <v>12.77</v>
      </c>
      <c r="I420">
        <v>114</v>
      </c>
      <c r="J420">
        <v>1455.78</v>
      </c>
    </row>
    <row r="421" spans="1:10" x14ac:dyDescent="0.25">
      <c r="A421">
        <v>420</v>
      </c>
      <c r="B421" s="1">
        <v>45798</v>
      </c>
      <c r="C421" t="s">
        <v>10</v>
      </c>
      <c r="D421" t="s">
        <v>21</v>
      </c>
      <c r="E421" t="s">
        <v>35</v>
      </c>
      <c r="F421" t="s">
        <v>13</v>
      </c>
      <c r="G421" t="s">
        <v>19</v>
      </c>
      <c r="H421">
        <v>4.5999999999999996</v>
      </c>
      <c r="I421">
        <v>97</v>
      </c>
      <c r="J421">
        <v>446.2</v>
      </c>
    </row>
    <row r="422" spans="1:10" x14ac:dyDescent="0.25">
      <c r="A422">
        <v>421</v>
      </c>
      <c r="B422" s="1">
        <v>45860</v>
      </c>
      <c r="C422" t="s">
        <v>30</v>
      </c>
      <c r="D422" t="s">
        <v>11</v>
      </c>
      <c r="E422" t="s">
        <v>17</v>
      </c>
      <c r="F422" t="s">
        <v>18</v>
      </c>
      <c r="G422" t="s">
        <v>14</v>
      </c>
      <c r="H422">
        <v>16.579999999999998</v>
      </c>
      <c r="I422">
        <v>190</v>
      </c>
      <c r="J422">
        <v>3150.2</v>
      </c>
    </row>
    <row r="423" spans="1:10" x14ac:dyDescent="0.25">
      <c r="A423">
        <v>422</v>
      </c>
      <c r="B423" s="1">
        <v>45706</v>
      </c>
      <c r="C423" t="s">
        <v>15</v>
      </c>
      <c r="D423" t="s">
        <v>11</v>
      </c>
      <c r="E423" t="s">
        <v>25</v>
      </c>
      <c r="F423" t="s">
        <v>13</v>
      </c>
      <c r="G423" t="s">
        <v>14</v>
      </c>
      <c r="H423">
        <v>2.52</v>
      </c>
      <c r="I423">
        <v>127</v>
      </c>
      <c r="J423">
        <v>320.04000000000002</v>
      </c>
    </row>
    <row r="424" spans="1:10" x14ac:dyDescent="0.25">
      <c r="A424">
        <v>423</v>
      </c>
      <c r="B424" s="1">
        <v>46006</v>
      </c>
      <c r="C424" t="s">
        <v>30</v>
      </c>
      <c r="D424" t="s">
        <v>28</v>
      </c>
      <c r="E424" t="s">
        <v>34</v>
      </c>
      <c r="F424" t="s">
        <v>36</v>
      </c>
      <c r="G424" t="s">
        <v>14</v>
      </c>
      <c r="H424">
        <v>12.51</v>
      </c>
      <c r="I424">
        <v>7</v>
      </c>
      <c r="J424">
        <v>87.57</v>
      </c>
    </row>
    <row r="425" spans="1:10" x14ac:dyDescent="0.25">
      <c r="A425">
        <v>424</v>
      </c>
      <c r="B425" s="1">
        <v>45725</v>
      </c>
      <c r="C425" t="s">
        <v>37</v>
      </c>
      <c r="D425" t="s">
        <v>21</v>
      </c>
      <c r="E425" t="s">
        <v>34</v>
      </c>
      <c r="F425" t="s">
        <v>18</v>
      </c>
      <c r="G425" t="s">
        <v>32</v>
      </c>
      <c r="H425">
        <v>13.25</v>
      </c>
      <c r="I425">
        <v>63</v>
      </c>
      <c r="J425">
        <v>834.75</v>
      </c>
    </row>
    <row r="426" spans="1:10" x14ac:dyDescent="0.25">
      <c r="A426">
        <v>425</v>
      </c>
      <c r="B426" s="1">
        <v>45846</v>
      </c>
      <c r="C426" t="s">
        <v>37</v>
      </c>
      <c r="D426" t="s">
        <v>11</v>
      </c>
      <c r="E426" t="s">
        <v>31</v>
      </c>
      <c r="F426" t="s">
        <v>18</v>
      </c>
      <c r="G426" t="s">
        <v>14</v>
      </c>
      <c r="H426">
        <v>22.32</v>
      </c>
      <c r="I426">
        <v>40</v>
      </c>
      <c r="J426">
        <v>892.8</v>
      </c>
    </row>
    <row r="427" spans="1:10" x14ac:dyDescent="0.25">
      <c r="A427">
        <v>426</v>
      </c>
      <c r="B427" s="1">
        <v>45946</v>
      </c>
      <c r="C427" t="s">
        <v>23</v>
      </c>
      <c r="D427" t="s">
        <v>24</v>
      </c>
      <c r="E427" t="s">
        <v>35</v>
      </c>
      <c r="F427" t="s">
        <v>13</v>
      </c>
      <c r="G427" t="s">
        <v>14</v>
      </c>
      <c r="H427">
        <v>2.69</v>
      </c>
      <c r="I427">
        <v>171</v>
      </c>
      <c r="J427">
        <v>459.99</v>
      </c>
    </row>
    <row r="428" spans="1:10" x14ac:dyDescent="0.25">
      <c r="A428">
        <v>427</v>
      </c>
      <c r="B428" s="1">
        <v>45735</v>
      </c>
      <c r="C428" t="s">
        <v>30</v>
      </c>
      <c r="D428" t="s">
        <v>24</v>
      </c>
      <c r="E428" t="s">
        <v>12</v>
      </c>
      <c r="F428" t="s">
        <v>18</v>
      </c>
      <c r="G428" t="s">
        <v>19</v>
      </c>
      <c r="H428">
        <v>23.2</v>
      </c>
      <c r="I428">
        <v>162</v>
      </c>
      <c r="J428">
        <v>3758.4</v>
      </c>
    </row>
    <row r="429" spans="1:10" x14ac:dyDescent="0.25">
      <c r="A429">
        <v>428</v>
      </c>
      <c r="B429" s="1">
        <v>45729</v>
      </c>
      <c r="C429" t="s">
        <v>30</v>
      </c>
      <c r="D429" t="s">
        <v>24</v>
      </c>
      <c r="E429" t="s">
        <v>35</v>
      </c>
      <c r="F429" t="s">
        <v>36</v>
      </c>
      <c r="G429" t="s">
        <v>32</v>
      </c>
      <c r="H429">
        <v>19.43</v>
      </c>
      <c r="I429">
        <v>155</v>
      </c>
      <c r="J429">
        <v>3011.65</v>
      </c>
    </row>
    <row r="430" spans="1:10" x14ac:dyDescent="0.25">
      <c r="A430">
        <v>429</v>
      </c>
      <c r="B430" s="1">
        <v>45729</v>
      </c>
      <c r="C430" t="s">
        <v>15</v>
      </c>
      <c r="D430" t="s">
        <v>11</v>
      </c>
      <c r="E430" t="s">
        <v>22</v>
      </c>
      <c r="F430" t="s">
        <v>26</v>
      </c>
      <c r="G430" t="s">
        <v>14</v>
      </c>
      <c r="H430">
        <v>8.08</v>
      </c>
      <c r="I430">
        <v>170</v>
      </c>
      <c r="J430">
        <v>1373.6</v>
      </c>
    </row>
    <row r="431" spans="1:10" x14ac:dyDescent="0.25">
      <c r="A431">
        <v>430</v>
      </c>
      <c r="B431" s="1">
        <v>45671</v>
      </c>
      <c r="C431" t="s">
        <v>10</v>
      </c>
      <c r="D431" t="s">
        <v>11</v>
      </c>
      <c r="E431" t="s">
        <v>22</v>
      </c>
      <c r="F431" t="s">
        <v>13</v>
      </c>
      <c r="G431" t="s">
        <v>14</v>
      </c>
      <c r="H431">
        <v>21.58</v>
      </c>
      <c r="I431">
        <v>173</v>
      </c>
      <c r="J431">
        <v>3733.34</v>
      </c>
    </row>
    <row r="432" spans="1:10" x14ac:dyDescent="0.25">
      <c r="A432">
        <v>431</v>
      </c>
      <c r="B432" s="1">
        <v>45858</v>
      </c>
      <c r="C432" t="s">
        <v>27</v>
      </c>
      <c r="D432" t="s">
        <v>11</v>
      </c>
      <c r="E432" t="s">
        <v>38</v>
      </c>
      <c r="F432" t="s">
        <v>36</v>
      </c>
      <c r="G432" t="s">
        <v>19</v>
      </c>
      <c r="H432">
        <v>9.15</v>
      </c>
      <c r="I432">
        <v>18</v>
      </c>
      <c r="J432">
        <v>164.7</v>
      </c>
    </row>
    <row r="433" spans="1:10" x14ac:dyDescent="0.25">
      <c r="A433">
        <v>432</v>
      </c>
      <c r="B433" s="1">
        <v>45781</v>
      </c>
      <c r="C433" t="s">
        <v>15</v>
      </c>
      <c r="D433" t="s">
        <v>16</v>
      </c>
      <c r="E433" t="s">
        <v>39</v>
      </c>
      <c r="F433" t="s">
        <v>26</v>
      </c>
      <c r="G433" t="s">
        <v>32</v>
      </c>
      <c r="H433">
        <v>13.74</v>
      </c>
      <c r="I433">
        <v>157</v>
      </c>
      <c r="J433">
        <v>2157.1799999999998</v>
      </c>
    </row>
    <row r="434" spans="1:10" x14ac:dyDescent="0.25">
      <c r="A434">
        <v>433</v>
      </c>
      <c r="B434" s="1">
        <v>45725</v>
      </c>
      <c r="C434" t="s">
        <v>37</v>
      </c>
      <c r="D434" t="s">
        <v>28</v>
      </c>
      <c r="E434" t="s">
        <v>22</v>
      </c>
      <c r="F434" t="s">
        <v>13</v>
      </c>
      <c r="G434" t="s">
        <v>32</v>
      </c>
      <c r="H434">
        <v>11.2</v>
      </c>
      <c r="I434">
        <v>150</v>
      </c>
      <c r="J434">
        <v>1680</v>
      </c>
    </row>
    <row r="435" spans="1:10" x14ac:dyDescent="0.25">
      <c r="A435">
        <v>434</v>
      </c>
      <c r="B435" s="1">
        <v>45695</v>
      </c>
      <c r="C435" t="s">
        <v>15</v>
      </c>
      <c r="D435" t="s">
        <v>28</v>
      </c>
      <c r="E435" t="s">
        <v>12</v>
      </c>
      <c r="F435" t="s">
        <v>18</v>
      </c>
      <c r="G435" t="s">
        <v>19</v>
      </c>
      <c r="H435">
        <v>2.88</v>
      </c>
      <c r="I435">
        <v>22</v>
      </c>
      <c r="J435">
        <v>63.36</v>
      </c>
    </row>
    <row r="436" spans="1:10" x14ac:dyDescent="0.25">
      <c r="A436">
        <v>435</v>
      </c>
      <c r="B436" s="1">
        <v>45861</v>
      </c>
      <c r="C436" t="s">
        <v>30</v>
      </c>
      <c r="D436" t="s">
        <v>16</v>
      </c>
      <c r="E436" t="s">
        <v>17</v>
      </c>
      <c r="F436" t="s">
        <v>36</v>
      </c>
      <c r="G436" t="s">
        <v>14</v>
      </c>
      <c r="H436">
        <v>13.9</v>
      </c>
      <c r="I436">
        <v>165</v>
      </c>
      <c r="J436">
        <v>2293.5</v>
      </c>
    </row>
    <row r="437" spans="1:10" x14ac:dyDescent="0.25">
      <c r="A437">
        <v>436</v>
      </c>
      <c r="B437" s="1">
        <v>45863</v>
      </c>
      <c r="C437" t="s">
        <v>20</v>
      </c>
      <c r="D437" t="s">
        <v>16</v>
      </c>
      <c r="E437" t="s">
        <v>31</v>
      </c>
      <c r="F437" t="s">
        <v>26</v>
      </c>
      <c r="G437" t="s">
        <v>19</v>
      </c>
      <c r="H437">
        <v>4.3499999999999996</v>
      </c>
      <c r="I437">
        <v>142</v>
      </c>
      <c r="J437">
        <v>617.70000000000005</v>
      </c>
    </row>
    <row r="438" spans="1:10" x14ac:dyDescent="0.25">
      <c r="A438">
        <v>437</v>
      </c>
      <c r="B438" s="1">
        <v>45816</v>
      </c>
      <c r="C438" t="s">
        <v>27</v>
      </c>
      <c r="D438" t="s">
        <v>11</v>
      </c>
      <c r="E438" t="s">
        <v>22</v>
      </c>
      <c r="F438" t="s">
        <v>26</v>
      </c>
      <c r="G438" t="s">
        <v>32</v>
      </c>
      <c r="H438">
        <v>4.28</v>
      </c>
      <c r="I438">
        <v>57</v>
      </c>
      <c r="J438">
        <v>243.96</v>
      </c>
    </row>
    <row r="439" spans="1:10" x14ac:dyDescent="0.25">
      <c r="A439">
        <v>438</v>
      </c>
      <c r="B439" s="1">
        <v>45958</v>
      </c>
      <c r="C439" t="s">
        <v>30</v>
      </c>
      <c r="D439" t="s">
        <v>33</v>
      </c>
      <c r="E439" t="s">
        <v>34</v>
      </c>
      <c r="F439" t="s">
        <v>26</v>
      </c>
      <c r="G439" t="s">
        <v>14</v>
      </c>
      <c r="H439">
        <v>16.77</v>
      </c>
      <c r="I439">
        <v>171</v>
      </c>
      <c r="J439">
        <v>2867.67</v>
      </c>
    </row>
    <row r="440" spans="1:10" x14ac:dyDescent="0.25">
      <c r="A440">
        <v>439</v>
      </c>
      <c r="B440" s="1">
        <v>45881</v>
      </c>
      <c r="C440" t="s">
        <v>15</v>
      </c>
      <c r="D440" t="s">
        <v>11</v>
      </c>
      <c r="E440" t="s">
        <v>34</v>
      </c>
      <c r="F440" t="s">
        <v>36</v>
      </c>
      <c r="G440" t="s">
        <v>19</v>
      </c>
      <c r="H440">
        <v>18.920000000000002</v>
      </c>
      <c r="I440">
        <v>66</v>
      </c>
      <c r="J440">
        <v>1248.72</v>
      </c>
    </row>
    <row r="441" spans="1:10" x14ac:dyDescent="0.25">
      <c r="A441">
        <v>440</v>
      </c>
      <c r="B441" s="1">
        <v>45890</v>
      </c>
      <c r="C441" t="s">
        <v>10</v>
      </c>
      <c r="D441" t="s">
        <v>33</v>
      </c>
      <c r="E441" t="s">
        <v>31</v>
      </c>
      <c r="F441" t="s">
        <v>18</v>
      </c>
      <c r="G441" t="s">
        <v>19</v>
      </c>
      <c r="H441">
        <v>16.28</v>
      </c>
      <c r="I441">
        <v>19</v>
      </c>
      <c r="J441">
        <v>309.32</v>
      </c>
    </row>
    <row r="442" spans="1:10" x14ac:dyDescent="0.25">
      <c r="A442">
        <v>441</v>
      </c>
      <c r="B442" s="1">
        <v>46020</v>
      </c>
      <c r="C442" t="s">
        <v>23</v>
      </c>
      <c r="D442" t="s">
        <v>24</v>
      </c>
      <c r="E442" t="s">
        <v>35</v>
      </c>
      <c r="F442" t="s">
        <v>26</v>
      </c>
      <c r="G442" t="s">
        <v>19</v>
      </c>
      <c r="H442">
        <v>5.59</v>
      </c>
      <c r="I442">
        <v>7</v>
      </c>
      <c r="J442">
        <v>39.130000000000003</v>
      </c>
    </row>
    <row r="443" spans="1:10" x14ac:dyDescent="0.25">
      <c r="A443">
        <v>442</v>
      </c>
      <c r="B443" s="1">
        <v>45848</v>
      </c>
      <c r="C443" t="s">
        <v>30</v>
      </c>
      <c r="D443" t="s">
        <v>21</v>
      </c>
      <c r="E443" t="s">
        <v>39</v>
      </c>
      <c r="F443" t="s">
        <v>26</v>
      </c>
      <c r="G443" t="s">
        <v>32</v>
      </c>
      <c r="H443">
        <v>5.36</v>
      </c>
      <c r="I443">
        <v>73</v>
      </c>
      <c r="J443">
        <v>391.28</v>
      </c>
    </row>
    <row r="444" spans="1:10" x14ac:dyDescent="0.25">
      <c r="A444">
        <v>443</v>
      </c>
      <c r="B444" s="1">
        <v>45797</v>
      </c>
      <c r="C444" t="s">
        <v>30</v>
      </c>
      <c r="D444" t="s">
        <v>16</v>
      </c>
      <c r="E444" t="s">
        <v>34</v>
      </c>
      <c r="F444" t="s">
        <v>36</v>
      </c>
      <c r="G444" t="s">
        <v>32</v>
      </c>
      <c r="H444">
        <v>14.29</v>
      </c>
      <c r="I444">
        <v>72</v>
      </c>
      <c r="J444">
        <v>1028.8800000000001</v>
      </c>
    </row>
    <row r="445" spans="1:10" x14ac:dyDescent="0.25">
      <c r="A445">
        <v>444</v>
      </c>
      <c r="B445" s="1">
        <v>45919</v>
      </c>
      <c r="C445" t="s">
        <v>27</v>
      </c>
      <c r="D445" t="s">
        <v>16</v>
      </c>
      <c r="E445" t="s">
        <v>31</v>
      </c>
      <c r="F445" t="s">
        <v>26</v>
      </c>
      <c r="G445" t="s">
        <v>19</v>
      </c>
      <c r="H445">
        <v>10.6</v>
      </c>
      <c r="I445">
        <v>132</v>
      </c>
      <c r="J445">
        <v>1399.2</v>
      </c>
    </row>
    <row r="446" spans="1:10" x14ac:dyDescent="0.25">
      <c r="A446">
        <v>445</v>
      </c>
      <c r="B446" s="1">
        <v>45788</v>
      </c>
      <c r="C446" t="s">
        <v>30</v>
      </c>
      <c r="D446" t="s">
        <v>33</v>
      </c>
      <c r="E446" t="s">
        <v>34</v>
      </c>
      <c r="F446" t="s">
        <v>13</v>
      </c>
      <c r="G446" t="s">
        <v>14</v>
      </c>
      <c r="H446">
        <v>19.899999999999999</v>
      </c>
      <c r="I446">
        <v>151</v>
      </c>
      <c r="J446">
        <v>3004.9</v>
      </c>
    </row>
    <row r="447" spans="1:10" x14ac:dyDescent="0.25">
      <c r="A447">
        <v>446</v>
      </c>
      <c r="B447" s="1">
        <v>45918</v>
      </c>
      <c r="C447" t="s">
        <v>23</v>
      </c>
      <c r="D447" t="s">
        <v>21</v>
      </c>
      <c r="E447" t="s">
        <v>38</v>
      </c>
      <c r="F447" t="s">
        <v>26</v>
      </c>
      <c r="G447" t="s">
        <v>32</v>
      </c>
      <c r="H447">
        <v>2.56</v>
      </c>
      <c r="I447">
        <v>8</v>
      </c>
      <c r="J447">
        <v>20.48</v>
      </c>
    </row>
    <row r="448" spans="1:10" x14ac:dyDescent="0.25">
      <c r="A448">
        <v>447</v>
      </c>
      <c r="B448" s="1">
        <v>45734</v>
      </c>
      <c r="C448" t="s">
        <v>20</v>
      </c>
      <c r="D448" t="s">
        <v>33</v>
      </c>
      <c r="E448" t="s">
        <v>17</v>
      </c>
      <c r="F448" t="s">
        <v>13</v>
      </c>
      <c r="G448" t="s">
        <v>32</v>
      </c>
      <c r="H448">
        <v>6.53</v>
      </c>
      <c r="I448">
        <v>14</v>
      </c>
      <c r="J448">
        <v>91.42</v>
      </c>
    </row>
    <row r="449" spans="1:10" x14ac:dyDescent="0.25">
      <c r="A449">
        <v>448</v>
      </c>
      <c r="B449" s="1">
        <v>45785</v>
      </c>
      <c r="C449" t="s">
        <v>10</v>
      </c>
      <c r="D449" t="s">
        <v>28</v>
      </c>
      <c r="E449" t="s">
        <v>34</v>
      </c>
      <c r="F449" t="s">
        <v>26</v>
      </c>
      <c r="G449" t="s">
        <v>19</v>
      </c>
      <c r="H449">
        <v>11.87</v>
      </c>
      <c r="I449">
        <v>189</v>
      </c>
      <c r="J449">
        <v>2243.4299999999998</v>
      </c>
    </row>
    <row r="450" spans="1:10" x14ac:dyDescent="0.25">
      <c r="A450">
        <v>449</v>
      </c>
      <c r="B450" s="1">
        <v>45915</v>
      </c>
      <c r="C450" t="s">
        <v>23</v>
      </c>
      <c r="D450" t="s">
        <v>11</v>
      </c>
      <c r="E450" t="s">
        <v>22</v>
      </c>
      <c r="F450" t="s">
        <v>18</v>
      </c>
      <c r="G450" t="s">
        <v>32</v>
      </c>
      <c r="H450">
        <v>17.649999999999999</v>
      </c>
      <c r="I450">
        <v>18</v>
      </c>
      <c r="J450">
        <v>317.7</v>
      </c>
    </row>
    <row r="451" spans="1:10" x14ac:dyDescent="0.25">
      <c r="A451">
        <v>450</v>
      </c>
      <c r="B451" s="1">
        <v>45693</v>
      </c>
      <c r="C451" t="s">
        <v>27</v>
      </c>
      <c r="D451" t="s">
        <v>28</v>
      </c>
      <c r="E451" t="s">
        <v>35</v>
      </c>
      <c r="F451" t="s">
        <v>18</v>
      </c>
      <c r="G451" t="s">
        <v>14</v>
      </c>
      <c r="H451">
        <v>22.23</v>
      </c>
      <c r="I451">
        <v>77</v>
      </c>
      <c r="J451">
        <v>1711.71</v>
      </c>
    </row>
    <row r="452" spans="1:10" x14ac:dyDescent="0.25">
      <c r="A452">
        <v>451</v>
      </c>
      <c r="B452" s="1">
        <v>45891</v>
      </c>
      <c r="C452" t="s">
        <v>10</v>
      </c>
      <c r="D452" t="s">
        <v>16</v>
      </c>
      <c r="E452" t="s">
        <v>29</v>
      </c>
      <c r="F452" t="s">
        <v>13</v>
      </c>
      <c r="G452" t="s">
        <v>32</v>
      </c>
      <c r="H452">
        <v>2.68</v>
      </c>
      <c r="I452">
        <v>56</v>
      </c>
      <c r="J452">
        <v>150.08000000000001</v>
      </c>
    </row>
    <row r="453" spans="1:10" x14ac:dyDescent="0.25">
      <c r="A453">
        <v>452</v>
      </c>
      <c r="B453" s="1">
        <v>45846</v>
      </c>
      <c r="C453" t="s">
        <v>27</v>
      </c>
      <c r="D453" t="s">
        <v>11</v>
      </c>
      <c r="E453" t="s">
        <v>22</v>
      </c>
      <c r="F453" t="s">
        <v>13</v>
      </c>
      <c r="G453" t="s">
        <v>19</v>
      </c>
      <c r="H453">
        <v>15.81</v>
      </c>
      <c r="I453">
        <v>131</v>
      </c>
      <c r="J453">
        <v>2071.11</v>
      </c>
    </row>
    <row r="454" spans="1:10" x14ac:dyDescent="0.25">
      <c r="A454">
        <v>453</v>
      </c>
      <c r="B454" s="1">
        <v>45661</v>
      </c>
      <c r="C454" t="s">
        <v>23</v>
      </c>
      <c r="D454" t="s">
        <v>16</v>
      </c>
      <c r="E454" t="s">
        <v>35</v>
      </c>
      <c r="F454" t="s">
        <v>18</v>
      </c>
      <c r="G454" t="s">
        <v>32</v>
      </c>
      <c r="H454">
        <v>23.48</v>
      </c>
      <c r="I454">
        <v>11</v>
      </c>
      <c r="J454">
        <v>258.27999999999997</v>
      </c>
    </row>
    <row r="455" spans="1:10" x14ac:dyDescent="0.25">
      <c r="A455">
        <v>454</v>
      </c>
      <c r="B455" s="1">
        <v>45658</v>
      </c>
      <c r="C455" t="s">
        <v>27</v>
      </c>
      <c r="D455" t="s">
        <v>33</v>
      </c>
      <c r="E455" t="s">
        <v>29</v>
      </c>
      <c r="F455" t="s">
        <v>18</v>
      </c>
      <c r="G455" t="s">
        <v>19</v>
      </c>
      <c r="H455">
        <v>19.579999999999998</v>
      </c>
      <c r="I455">
        <v>101</v>
      </c>
      <c r="J455">
        <v>1977.58</v>
      </c>
    </row>
    <row r="456" spans="1:10" x14ac:dyDescent="0.25">
      <c r="A456">
        <v>455</v>
      </c>
      <c r="B456" s="1">
        <v>45929</v>
      </c>
      <c r="C456" t="s">
        <v>37</v>
      </c>
      <c r="D456" t="s">
        <v>21</v>
      </c>
      <c r="E456" t="s">
        <v>31</v>
      </c>
      <c r="F456" t="s">
        <v>26</v>
      </c>
      <c r="G456" t="s">
        <v>19</v>
      </c>
      <c r="H456">
        <v>24.62</v>
      </c>
      <c r="I456">
        <v>112</v>
      </c>
      <c r="J456">
        <v>2757.44</v>
      </c>
    </row>
    <row r="457" spans="1:10" x14ac:dyDescent="0.25">
      <c r="A457">
        <v>456</v>
      </c>
      <c r="B457" s="1">
        <v>45680</v>
      </c>
      <c r="C457" t="s">
        <v>37</v>
      </c>
      <c r="D457" t="s">
        <v>33</v>
      </c>
      <c r="E457" t="s">
        <v>35</v>
      </c>
      <c r="F457" t="s">
        <v>36</v>
      </c>
      <c r="G457" t="s">
        <v>14</v>
      </c>
      <c r="H457">
        <v>23.23</v>
      </c>
      <c r="I457">
        <v>138</v>
      </c>
      <c r="J457">
        <v>3205.74</v>
      </c>
    </row>
    <row r="458" spans="1:10" x14ac:dyDescent="0.25">
      <c r="A458">
        <v>457</v>
      </c>
      <c r="B458" s="1">
        <v>45701</v>
      </c>
      <c r="C458" t="s">
        <v>23</v>
      </c>
      <c r="D458" t="s">
        <v>33</v>
      </c>
      <c r="E458" t="s">
        <v>17</v>
      </c>
      <c r="F458" t="s">
        <v>18</v>
      </c>
      <c r="G458" t="s">
        <v>14</v>
      </c>
      <c r="H458">
        <v>15.57</v>
      </c>
      <c r="I458">
        <v>134</v>
      </c>
      <c r="J458">
        <v>2086.38</v>
      </c>
    </row>
    <row r="459" spans="1:10" x14ac:dyDescent="0.25">
      <c r="A459">
        <v>458</v>
      </c>
      <c r="B459" s="1">
        <v>45948</v>
      </c>
      <c r="C459" t="s">
        <v>23</v>
      </c>
      <c r="D459" t="s">
        <v>11</v>
      </c>
      <c r="E459" t="s">
        <v>29</v>
      </c>
      <c r="F459" t="s">
        <v>26</v>
      </c>
      <c r="G459" t="s">
        <v>32</v>
      </c>
      <c r="H459">
        <v>3.9</v>
      </c>
      <c r="I459">
        <v>174</v>
      </c>
      <c r="J459">
        <v>678.6</v>
      </c>
    </row>
    <row r="460" spans="1:10" x14ac:dyDescent="0.25">
      <c r="A460">
        <v>459</v>
      </c>
      <c r="B460" s="1">
        <v>45859</v>
      </c>
      <c r="C460" t="s">
        <v>10</v>
      </c>
      <c r="D460" t="s">
        <v>28</v>
      </c>
      <c r="E460" t="s">
        <v>38</v>
      </c>
      <c r="F460" t="s">
        <v>26</v>
      </c>
      <c r="G460" t="s">
        <v>19</v>
      </c>
      <c r="H460">
        <v>18.27</v>
      </c>
      <c r="I460">
        <v>193</v>
      </c>
      <c r="J460">
        <v>3526.11</v>
      </c>
    </row>
    <row r="461" spans="1:10" x14ac:dyDescent="0.25">
      <c r="A461">
        <v>460</v>
      </c>
      <c r="B461" s="1">
        <v>45696</v>
      </c>
      <c r="C461" t="s">
        <v>27</v>
      </c>
      <c r="D461" t="s">
        <v>16</v>
      </c>
      <c r="E461" t="s">
        <v>34</v>
      </c>
      <c r="F461" t="s">
        <v>13</v>
      </c>
      <c r="G461" t="s">
        <v>19</v>
      </c>
      <c r="H461">
        <v>23.73</v>
      </c>
      <c r="I461">
        <v>39</v>
      </c>
      <c r="J461">
        <v>925.47</v>
      </c>
    </row>
    <row r="462" spans="1:10" x14ac:dyDescent="0.25">
      <c r="A462">
        <v>461</v>
      </c>
      <c r="B462" s="1">
        <v>45742</v>
      </c>
      <c r="C462" t="s">
        <v>37</v>
      </c>
      <c r="D462" t="s">
        <v>21</v>
      </c>
      <c r="E462" t="s">
        <v>22</v>
      </c>
      <c r="F462" t="s">
        <v>26</v>
      </c>
      <c r="G462" t="s">
        <v>19</v>
      </c>
      <c r="H462">
        <v>12.62</v>
      </c>
      <c r="I462">
        <v>85</v>
      </c>
      <c r="J462">
        <v>1072.7</v>
      </c>
    </row>
    <row r="463" spans="1:10" x14ac:dyDescent="0.25">
      <c r="A463">
        <v>462</v>
      </c>
      <c r="B463" s="1">
        <v>45889</v>
      </c>
      <c r="C463" t="s">
        <v>27</v>
      </c>
      <c r="D463" t="s">
        <v>21</v>
      </c>
      <c r="E463" t="s">
        <v>34</v>
      </c>
      <c r="F463" t="s">
        <v>13</v>
      </c>
      <c r="G463" t="s">
        <v>14</v>
      </c>
      <c r="H463">
        <v>9.44</v>
      </c>
      <c r="I463">
        <v>72</v>
      </c>
      <c r="J463">
        <v>679.68</v>
      </c>
    </row>
    <row r="464" spans="1:10" x14ac:dyDescent="0.25">
      <c r="A464">
        <v>463</v>
      </c>
      <c r="B464" s="1">
        <v>45813</v>
      </c>
      <c r="C464" t="s">
        <v>20</v>
      </c>
      <c r="D464" t="s">
        <v>21</v>
      </c>
      <c r="E464" t="s">
        <v>12</v>
      </c>
      <c r="F464" t="s">
        <v>26</v>
      </c>
      <c r="G464" t="s">
        <v>19</v>
      </c>
      <c r="H464">
        <v>21.09</v>
      </c>
      <c r="I464">
        <v>183</v>
      </c>
      <c r="J464">
        <v>3859.47</v>
      </c>
    </row>
    <row r="465" spans="1:10" x14ac:dyDescent="0.25">
      <c r="A465">
        <v>464</v>
      </c>
      <c r="B465" s="1">
        <v>45704</v>
      </c>
      <c r="C465" t="s">
        <v>37</v>
      </c>
      <c r="D465" t="s">
        <v>16</v>
      </c>
      <c r="E465" t="s">
        <v>39</v>
      </c>
      <c r="F465" t="s">
        <v>26</v>
      </c>
      <c r="G465" t="s">
        <v>32</v>
      </c>
      <c r="H465">
        <v>18.5</v>
      </c>
      <c r="I465">
        <v>96</v>
      </c>
      <c r="J465">
        <v>1776</v>
      </c>
    </row>
    <row r="466" spans="1:10" x14ac:dyDescent="0.25">
      <c r="A466">
        <v>465</v>
      </c>
      <c r="B466" s="1">
        <v>45747</v>
      </c>
      <c r="C466" t="s">
        <v>27</v>
      </c>
      <c r="D466" t="s">
        <v>24</v>
      </c>
      <c r="E466" t="s">
        <v>22</v>
      </c>
      <c r="F466" t="s">
        <v>13</v>
      </c>
      <c r="G466" t="s">
        <v>19</v>
      </c>
      <c r="H466">
        <v>3.2</v>
      </c>
      <c r="I466">
        <v>108</v>
      </c>
      <c r="J466">
        <v>345.6</v>
      </c>
    </row>
    <row r="467" spans="1:10" x14ac:dyDescent="0.25">
      <c r="A467">
        <v>466</v>
      </c>
      <c r="B467" s="1">
        <v>45894</v>
      </c>
      <c r="C467" t="s">
        <v>15</v>
      </c>
      <c r="D467" t="s">
        <v>21</v>
      </c>
      <c r="E467" t="s">
        <v>39</v>
      </c>
      <c r="F467" t="s">
        <v>13</v>
      </c>
      <c r="G467" t="s">
        <v>19</v>
      </c>
      <c r="H467">
        <v>4.79</v>
      </c>
      <c r="I467">
        <v>40</v>
      </c>
      <c r="J467">
        <v>191.6</v>
      </c>
    </row>
    <row r="468" spans="1:10" x14ac:dyDescent="0.25">
      <c r="A468">
        <v>467</v>
      </c>
      <c r="B468" s="1">
        <v>45759</v>
      </c>
      <c r="C468" t="s">
        <v>30</v>
      </c>
      <c r="D468" t="s">
        <v>33</v>
      </c>
      <c r="E468" t="s">
        <v>34</v>
      </c>
      <c r="F468" t="s">
        <v>26</v>
      </c>
      <c r="G468" t="s">
        <v>19</v>
      </c>
      <c r="H468">
        <v>21.03</v>
      </c>
      <c r="I468">
        <v>100</v>
      </c>
      <c r="J468">
        <v>2103</v>
      </c>
    </row>
    <row r="469" spans="1:10" x14ac:dyDescent="0.25">
      <c r="A469">
        <v>468</v>
      </c>
      <c r="B469" s="1">
        <v>45669</v>
      </c>
      <c r="C469" t="s">
        <v>30</v>
      </c>
      <c r="D469" t="s">
        <v>24</v>
      </c>
      <c r="E469" t="s">
        <v>31</v>
      </c>
      <c r="F469" t="s">
        <v>18</v>
      </c>
      <c r="G469" t="s">
        <v>32</v>
      </c>
      <c r="H469">
        <v>24.94</v>
      </c>
      <c r="I469">
        <v>55</v>
      </c>
      <c r="J469">
        <v>1371.7</v>
      </c>
    </row>
    <row r="470" spans="1:10" x14ac:dyDescent="0.25">
      <c r="A470">
        <v>469</v>
      </c>
      <c r="B470" s="1">
        <v>45720</v>
      </c>
      <c r="C470" t="s">
        <v>15</v>
      </c>
      <c r="D470" t="s">
        <v>11</v>
      </c>
      <c r="E470" t="s">
        <v>25</v>
      </c>
      <c r="F470" t="s">
        <v>36</v>
      </c>
      <c r="G470" t="s">
        <v>14</v>
      </c>
      <c r="H470">
        <v>3.46</v>
      </c>
      <c r="I470">
        <v>123</v>
      </c>
      <c r="J470">
        <v>425.58</v>
      </c>
    </row>
    <row r="471" spans="1:10" x14ac:dyDescent="0.25">
      <c r="A471">
        <v>470</v>
      </c>
      <c r="B471" s="1">
        <v>45860</v>
      </c>
      <c r="C471" t="s">
        <v>30</v>
      </c>
      <c r="D471" t="s">
        <v>24</v>
      </c>
      <c r="E471" t="s">
        <v>31</v>
      </c>
      <c r="F471" t="s">
        <v>26</v>
      </c>
      <c r="G471" t="s">
        <v>19</v>
      </c>
      <c r="H471">
        <v>13.66</v>
      </c>
      <c r="I471">
        <v>102</v>
      </c>
      <c r="J471">
        <v>1393.32</v>
      </c>
    </row>
    <row r="472" spans="1:10" x14ac:dyDescent="0.25">
      <c r="A472">
        <v>471</v>
      </c>
      <c r="B472" s="1">
        <v>45753</v>
      </c>
      <c r="C472" t="s">
        <v>23</v>
      </c>
      <c r="D472" t="s">
        <v>21</v>
      </c>
      <c r="E472" t="s">
        <v>25</v>
      </c>
      <c r="F472" t="s">
        <v>13</v>
      </c>
      <c r="G472" t="s">
        <v>14</v>
      </c>
      <c r="H472">
        <v>8.69</v>
      </c>
      <c r="I472">
        <v>119</v>
      </c>
      <c r="J472">
        <v>1034.1099999999999</v>
      </c>
    </row>
    <row r="473" spans="1:10" x14ac:dyDescent="0.25">
      <c r="A473">
        <v>472</v>
      </c>
      <c r="B473" s="1">
        <v>45809</v>
      </c>
      <c r="C473" t="s">
        <v>37</v>
      </c>
      <c r="D473" t="s">
        <v>21</v>
      </c>
      <c r="E473" t="s">
        <v>34</v>
      </c>
      <c r="F473" t="s">
        <v>26</v>
      </c>
      <c r="G473" t="s">
        <v>32</v>
      </c>
      <c r="H473">
        <v>13.73</v>
      </c>
      <c r="I473">
        <v>145</v>
      </c>
      <c r="J473">
        <v>1990.85</v>
      </c>
    </row>
    <row r="474" spans="1:10" x14ac:dyDescent="0.25">
      <c r="A474">
        <v>473</v>
      </c>
      <c r="B474" s="1">
        <v>45728</v>
      </c>
      <c r="C474" t="s">
        <v>27</v>
      </c>
      <c r="D474" t="s">
        <v>16</v>
      </c>
      <c r="E474" t="s">
        <v>12</v>
      </c>
      <c r="F474" t="s">
        <v>18</v>
      </c>
      <c r="G474" t="s">
        <v>32</v>
      </c>
      <c r="H474">
        <v>11.93</v>
      </c>
      <c r="I474">
        <v>169</v>
      </c>
      <c r="J474">
        <v>2016.17</v>
      </c>
    </row>
    <row r="475" spans="1:10" x14ac:dyDescent="0.25">
      <c r="A475">
        <v>474</v>
      </c>
      <c r="B475" s="1">
        <v>45841</v>
      </c>
      <c r="C475" t="s">
        <v>10</v>
      </c>
      <c r="D475" t="s">
        <v>16</v>
      </c>
      <c r="E475" t="s">
        <v>22</v>
      </c>
      <c r="F475" t="s">
        <v>26</v>
      </c>
      <c r="G475" t="s">
        <v>32</v>
      </c>
      <c r="H475">
        <v>13.29</v>
      </c>
      <c r="I475">
        <v>129</v>
      </c>
      <c r="J475">
        <v>1714.41</v>
      </c>
    </row>
    <row r="476" spans="1:10" x14ac:dyDescent="0.25">
      <c r="A476">
        <v>475</v>
      </c>
      <c r="B476" s="1">
        <v>45796</v>
      </c>
      <c r="C476" t="s">
        <v>20</v>
      </c>
      <c r="D476" t="s">
        <v>11</v>
      </c>
      <c r="E476" t="s">
        <v>39</v>
      </c>
      <c r="F476" t="s">
        <v>26</v>
      </c>
      <c r="G476" t="s">
        <v>19</v>
      </c>
      <c r="H476">
        <v>6.55</v>
      </c>
      <c r="I476">
        <v>86</v>
      </c>
      <c r="J476">
        <v>563.29999999999995</v>
      </c>
    </row>
    <row r="477" spans="1:10" x14ac:dyDescent="0.25">
      <c r="A477">
        <v>476</v>
      </c>
      <c r="B477" s="1">
        <v>45899</v>
      </c>
      <c r="C477" t="s">
        <v>23</v>
      </c>
      <c r="D477" t="s">
        <v>11</v>
      </c>
      <c r="E477" t="s">
        <v>34</v>
      </c>
      <c r="F477" t="s">
        <v>13</v>
      </c>
      <c r="G477" t="s">
        <v>14</v>
      </c>
      <c r="H477">
        <v>14.41</v>
      </c>
      <c r="I477">
        <v>154</v>
      </c>
      <c r="J477">
        <v>2219.14</v>
      </c>
    </row>
    <row r="478" spans="1:10" x14ac:dyDescent="0.25">
      <c r="A478">
        <v>477</v>
      </c>
      <c r="B478" s="1">
        <v>45781</v>
      </c>
      <c r="C478" t="s">
        <v>15</v>
      </c>
      <c r="D478" t="s">
        <v>11</v>
      </c>
      <c r="E478" t="s">
        <v>25</v>
      </c>
      <c r="F478" t="s">
        <v>36</v>
      </c>
      <c r="G478" t="s">
        <v>32</v>
      </c>
      <c r="H478">
        <v>8.5</v>
      </c>
      <c r="I478">
        <v>193</v>
      </c>
      <c r="J478">
        <v>1640.5</v>
      </c>
    </row>
    <row r="479" spans="1:10" x14ac:dyDescent="0.25">
      <c r="A479">
        <v>478</v>
      </c>
      <c r="B479" s="1">
        <v>45746</v>
      </c>
      <c r="C479" t="s">
        <v>10</v>
      </c>
      <c r="D479" t="s">
        <v>33</v>
      </c>
      <c r="E479" t="s">
        <v>35</v>
      </c>
      <c r="F479" t="s">
        <v>18</v>
      </c>
      <c r="G479" t="s">
        <v>14</v>
      </c>
      <c r="H479">
        <v>6.46</v>
      </c>
      <c r="I479">
        <v>156</v>
      </c>
      <c r="J479">
        <v>1007.76</v>
      </c>
    </row>
    <row r="480" spans="1:10" x14ac:dyDescent="0.25">
      <c r="A480">
        <v>479</v>
      </c>
      <c r="B480" s="1">
        <v>46016</v>
      </c>
      <c r="C480" t="s">
        <v>20</v>
      </c>
      <c r="D480" t="s">
        <v>11</v>
      </c>
      <c r="E480" t="s">
        <v>25</v>
      </c>
      <c r="F480" t="s">
        <v>13</v>
      </c>
      <c r="G480" t="s">
        <v>32</v>
      </c>
      <c r="H480">
        <v>10.41</v>
      </c>
      <c r="I480">
        <v>150</v>
      </c>
      <c r="J480">
        <v>1561.5</v>
      </c>
    </row>
    <row r="481" spans="1:10" x14ac:dyDescent="0.25">
      <c r="A481">
        <v>480</v>
      </c>
      <c r="B481" s="1">
        <v>45935</v>
      </c>
      <c r="C481" t="s">
        <v>15</v>
      </c>
      <c r="D481" t="s">
        <v>21</v>
      </c>
      <c r="E481" t="s">
        <v>39</v>
      </c>
      <c r="F481" t="s">
        <v>13</v>
      </c>
      <c r="G481" t="s">
        <v>14</v>
      </c>
      <c r="H481">
        <v>9.4499999999999993</v>
      </c>
      <c r="I481">
        <v>130</v>
      </c>
      <c r="J481">
        <v>1228.5</v>
      </c>
    </row>
    <row r="482" spans="1:10" x14ac:dyDescent="0.25">
      <c r="A482">
        <v>481</v>
      </c>
      <c r="B482" s="1">
        <v>45770</v>
      </c>
      <c r="C482" t="s">
        <v>15</v>
      </c>
      <c r="D482" t="s">
        <v>28</v>
      </c>
      <c r="E482" t="s">
        <v>25</v>
      </c>
      <c r="F482" t="s">
        <v>13</v>
      </c>
      <c r="G482" t="s">
        <v>19</v>
      </c>
      <c r="H482">
        <v>2.95</v>
      </c>
      <c r="I482">
        <v>127</v>
      </c>
      <c r="J482">
        <v>374.65</v>
      </c>
    </row>
    <row r="483" spans="1:10" x14ac:dyDescent="0.25">
      <c r="A483">
        <v>482</v>
      </c>
      <c r="B483" s="1">
        <v>45832</v>
      </c>
      <c r="C483" t="s">
        <v>15</v>
      </c>
      <c r="D483" t="s">
        <v>21</v>
      </c>
      <c r="E483" t="s">
        <v>31</v>
      </c>
      <c r="F483" t="s">
        <v>13</v>
      </c>
      <c r="G483" t="s">
        <v>19</v>
      </c>
      <c r="H483">
        <v>18.63</v>
      </c>
      <c r="I483">
        <v>87</v>
      </c>
      <c r="J483">
        <v>1620.81</v>
      </c>
    </row>
    <row r="484" spans="1:10" x14ac:dyDescent="0.25">
      <c r="A484">
        <v>483</v>
      </c>
      <c r="B484" s="1">
        <v>45927</v>
      </c>
      <c r="C484" t="s">
        <v>10</v>
      </c>
      <c r="D484" t="s">
        <v>33</v>
      </c>
      <c r="E484" t="s">
        <v>17</v>
      </c>
      <c r="F484" t="s">
        <v>18</v>
      </c>
      <c r="G484" t="s">
        <v>32</v>
      </c>
      <c r="H484">
        <v>21.87</v>
      </c>
      <c r="I484">
        <v>23</v>
      </c>
      <c r="J484">
        <v>503.01</v>
      </c>
    </row>
    <row r="485" spans="1:10" x14ac:dyDescent="0.25">
      <c r="A485">
        <v>484</v>
      </c>
      <c r="B485" s="1">
        <v>45812</v>
      </c>
      <c r="C485" t="s">
        <v>30</v>
      </c>
      <c r="D485" t="s">
        <v>24</v>
      </c>
      <c r="E485" t="s">
        <v>38</v>
      </c>
      <c r="F485" t="s">
        <v>26</v>
      </c>
      <c r="G485" t="s">
        <v>19</v>
      </c>
      <c r="H485">
        <v>9.76</v>
      </c>
      <c r="I485">
        <v>45</v>
      </c>
      <c r="J485">
        <v>439.2</v>
      </c>
    </row>
    <row r="486" spans="1:10" x14ac:dyDescent="0.25">
      <c r="A486">
        <v>485</v>
      </c>
      <c r="B486" s="1">
        <v>46020</v>
      </c>
      <c r="C486" t="s">
        <v>20</v>
      </c>
      <c r="D486" t="s">
        <v>28</v>
      </c>
      <c r="E486" t="s">
        <v>12</v>
      </c>
      <c r="F486" t="s">
        <v>13</v>
      </c>
      <c r="G486" t="s">
        <v>32</v>
      </c>
      <c r="H486">
        <v>24.3</v>
      </c>
      <c r="I486">
        <v>182</v>
      </c>
      <c r="J486">
        <v>4422.6000000000004</v>
      </c>
    </row>
    <row r="487" spans="1:10" x14ac:dyDescent="0.25">
      <c r="A487">
        <v>486</v>
      </c>
      <c r="B487" s="1">
        <v>45815</v>
      </c>
      <c r="C487" t="s">
        <v>23</v>
      </c>
      <c r="D487" t="s">
        <v>11</v>
      </c>
      <c r="E487" t="s">
        <v>39</v>
      </c>
      <c r="F487" t="s">
        <v>36</v>
      </c>
      <c r="G487" t="s">
        <v>14</v>
      </c>
      <c r="H487">
        <v>19.010000000000002</v>
      </c>
      <c r="I487">
        <v>80</v>
      </c>
      <c r="J487">
        <v>1520.8</v>
      </c>
    </row>
    <row r="488" spans="1:10" x14ac:dyDescent="0.25">
      <c r="A488">
        <v>487</v>
      </c>
      <c r="B488" s="1">
        <v>45674</v>
      </c>
      <c r="C488" t="s">
        <v>27</v>
      </c>
      <c r="D488" t="s">
        <v>16</v>
      </c>
      <c r="E488" t="s">
        <v>12</v>
      </c>
      <c r="F488" t="s">
        <v>18</v>
      </c>
      <c r="G488" t="s">
        <v>32</v>
      </c>
      <c r="H488">
        <v>6.6</v>
      </c>
      <c r="I488">
        <v>86</v>
      </c>
      <c r="J488">
        <v>567.6</v>
      </c>
    </row>
    <row r="489" spans="1:10" x14ac:dyDescent="0.25">
      <c r="A489">
        <v>488</v>
      </c>
      <c r="B489" s="1">
        <v>45730</v>
      </c>
      <c r="C489" t="s">
        <v>23</v>
      </c>
      <c r="D489" t="s">
        <v>28</v>
      </c>
      <c r="E489" t="s">
        <v>35</v>
      </c>
      <c r="F489" t="s">
        <v>13</v>
      </c>
      <c r="G489" t="s">
        <v>14</v>
      </c>
      <c r="H489">
        <v>9.9499999999999993</v>
      </c>
      <c r="I489">
        <v>24</v>
      </c>
      <c r="J489">
        <v>238.8</v>
      </c>
    </row>
    <row r="490" spans="1:10" x14ac:dyDescent="0.25">
      <c r="A490">
        <v>489</v>
      </c>
      <c r="B490" s="1">
        <v>45703</v>
      </c>
      <c r="C490" t="s">
        <v>30</v>
      </c>
      <c r="D490" t="s">
        <v>33</v>
      </c>
      <c r="E490" t="s">
        <v>35</v>
      </c>
      <c r="F490" t="s">
        <v>36</v>
      </c>
      <c r="G490" t="s">
        <v>19</v>
      </c>
      <c r="H490">
        <v>20.99</v>
      </c>
      <c r="I490">
        <v>176</v>
      </c>
      <c r="J490">
        <v>3694.24</v>
      </c>
    </row>
    <row r="491" spans="1:10" x14ac:dyDescent="0.25">
      <c r="A491">
        <v>490</v>
      </c>
      <c r="B491" s="1">
        <v>45793</v>
      </c>
      <c r="C491" t="s">
        <v>15</v>
      </c>
      <c r="D491" t="s">
        <v>28</v>
      </c>
      <c r="E491" t="s">
        <v>29</v>
      </c>
      <c r="F491" t="s">
        <v>18</v>
      </c>
      <c r="G491" t="s">
        <v>14</v>
      </c>
      <c r="H491">
        <v>7.22</v>
      </c>
      <c r="I491">
        <v>182</v>
      </c>
      <c r="J491">
        <v>1314.04</v>
      </c>
    </row>
    <row r="492" spans="1:10" x14ac:dyDescent="0.25">
      <c r="A492">
        <v>491</v>
      </c>
      <c r="B492" s="1">
        <v>45658</v>
      </c>
      <c r="C492" t="s">
        <v>30</v>
      </c>
      <c r="D492" t="s">
        <v>24</v>
      </c>
      <c r="E492" t="s">
        <v>31</v>
      </c>
      <c r="F492" t="s">
        <v>36</v>
      </c>
      <c r="G492" t="s">
        <v>32</v>
      </c>
      <c r="H492">
        <v>3.58</v>
      </c>
      <c r="I492">
        <v>117</v>
      </c>
      <c r="J492">
        <v>418.86</v>
      </c>
    </row>
    <row r="493" spans="1:10" x14ac:dyDescent="0.25">
      <c r="A493">
        <v>492</v>
      </c>
      <c r="B493" s="1">
        <v>45851</v>
      </c>
      <c r="C493" t="s">
        <v>15</v>
      </c>
      <c r="D493" t="s">
        <v>24</v>
      </c>
      <c r="E493" t="s">
        <v>25</v>
      </c>
      <c r="F493" t="s">
        <v>13</v>
      </c>
      <c r="G493" t="s">
        <v>19</v>
      </c>
      <c r="H493">
        <v>10.4</v>
      </c>
      <c r="I493">
        <v>101</v>
      </c>
      <c r="J493">
        <v>1050.4000000000001</v>
      </c>
    </row>
    <row r="494" spans="1:10" x14ac:dyDescent="0.25">
      <c r="A494">
        <v>493</v>
      </c>
      <c r="B494" s="1">
        <v>45889</v>
      </c>
      <c r="C494" t="s">
        <v>10</v>
      </c>
      <c r="D494" t="s">
        <v>21</v>
      </c>
      <c r="E494" t="s">
        <v>35</v>
      </c>
      <c r="F494" t="s">
        <v>26</v>
      </c>
      <c r="G494" t="s">
        <v>19</v>
      </c>
      <c r="H494">
        <v>4.16</v>
      </c>
      <c r="I494">
        <v>13</v>
      </c>
      <c r="J494">
        <v>54.08</v>
      </c>
    </row>
    <row r="495" spans="1:10" x14ac:dyDescent="0.25">
      <c r="A495">
        <v>494</v>
      </c>
      <c r="B495" s="1">
        <v>45695</v>
      </c>
      <c r="C495" t="s">
        <v>23</v>
      </c>
      <c r="D495" t="s">
        <v>33</v>
      </c>
      <c r="E495" t="s">
        <v>34</v>
      </c>
      <c r="F495" t="s">
        <v>18</v>
      </c>
      <c r="G495" t="s">
        <v>32</v>
      </c>
      <c r="H495">
        <v>10.19</v>
      </c>
      <c r="I495">
        <v>101</v>
      </c>
      <c r="J495">
        <v>1029.19</v>
      </c>
    </row>
    <row r="496" spans="1:10" x14ac:dyDescent="0.25">
      <c r="A496">
        <v>495</v>
      </c>
      <c r="B496" s="1">
        <v>45962</v>
      </c>
      <c r="C496" t="s">
        <v>30</v>
      </c>
      <c r="D496" t="s">
        <v>21</v>
      </c>
      <c r="E496" t="s">
        <v>17</v>
      </c>
      <c r="F496" t="s">
        <v>13</v>
      </c>
      <c r="G496" t="s">
        <v>14</v>
      </c>
      <c r="H496">
        <v>24.67</v>
      </c>
      <c r="I496">
        <v>128</v>
      </c>
      <c r="J496">
        <v>3157.76</v>
      </c>
    </row>
    <row r="497" spans="1:10" x14ac:dyDescent="0.25">
      <c r="A497">
        <v>496</v>
      </c>
      <c r="B497" s="1">
        <v>45880</v>
      </c>
      <c r="C497" t="s">
        <v>10</v>
      </c>
      <c r="D497" t="s">
        <v>11</v>
      </c>
      <c r="E497" t="s">
        <v>12</v>
      </c>
      <c r="F497" t="s">
        <v>36</v>
      </c>
      <c r="G497" t="s">
        <v>14</v>
      </c>
      <c r="H497">
        <v>6.03</v>
      </c>
      <c r="I497">
        <v>30</v>
      </c>
      <c r="J497">
        <v>180.9</v>
      </c>
    </row>
    <row r="498" spans="1:10" x14ac:dyDescent="0.25">
      <c r="A498">
        <v>497</v>
      </c>
      <c r="B498" s="1">
        <v>45941</v>
      </c>
      <c r="C498" t="s">
        <v>20</v>
      </c>
      <c r="D498" t="s">
        <v>28</v>
      </c>
      <c r="E498" t="s">
        <v>29</v>
      </c>
      <c r="F498" t="s">
        <v>26</v>
      </c>
      <c r="G498" t="s">
        <v>19</v>
      </c>
      <c r="H498">
        <v>18.75</v>
      </c>
      <c r="I498">
        <v>191</v>
      </c>
      <c r="J498">
        <v>3581.25</v>
      </c>
    </row>
    <row r="499" spans="1:10" x14ac:dyDescent="0.25">
      <c r="A499">
        <v>498</v>
      </c>
      <c r="B499" s="1">
        <v>45707</v>
      </c>
      <c r="C499" t="s">
        <v>20</v>
      </c>
      <c r="D499" t="s">
        <v>24</v>
      </c>
      <c r="E499" t="s">
        <v>31</v>
      </c>
      <c r="F499" t="s">
        <v>18</v>
      </c>
      <c r="G499" t="s">
        <v>32</v>
      </c>
      <c r="H499">
        <v>3.62</v>
      </c>
      <c r="I499">
        <v>151</v>
      </c>
      <c r="J499">
        <v>546.62</v>
      </c>
    </row>
    <row r="500" spans="1:10" x14ac:dyDescent="0.25">
      <c r="A500">
        <v>499</v>
      </c>
      <c r="B500" s="1">
        <v>45659</v>
      </c>
      <c r="C500" t="s">
        <v>27</v>
      </c>
      <c r="D500" t="s">
        <v>33</v>
      </c>
      <c r="E500" t="s">
        <v>25</v>
      </c>
      <c r="F500" t="s">
        <v>36</v>
      </c>
      <c r="G500" t="s">
        <v>19</v>
      </c>
      <c r="H500">
        <v>12.12</v>
      </c>
      <c r="I500">
        <v>80</v>
      </c>
      <c r="J500">
        <v>969.6</v>
      </c>
    </row>
    <row r="501" spans="1:10" x14ac:dyDescent="0.25">
      <c r="A501">
        <v>500</v>
      </c>
      <c r="B501" s="1">
        <v>45707</v>
      </c>
      <c r="C501" t="s">
        <v>30</v>
      </c>
      <c r="D501" t="s">
        <v>28</v>
      </c>
      <c r="E501" t="s">
        <v>34</v>
      </c>
      <c r="F501" t="s">
        <v>36</v>
      </c>
      <c r="G501" t="s">
        <v>19</v>
      </c>
      <c r="H501">
        <v>3.08</v>
      </c>
      <c r="I501">
        <v>48</v>
      </c>
      <c r="J501">
        <v>147.84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50C9-3DE1-4583-91DC-B6B6776D38C1}">
  <dimension ref="A1:U52"/>
  <sheetViews>
    <sheetView tabSelected="1" topLeftCell="A21" workbookViewId="0">
      <selection activeCell="F7" sqref="F7"/>
    </sheetView>
  </sheetViews>
  <sheetFormatPr defaultRowHeight="15" x14ac:dyDescent="0.25"/>
  <cols>
    <col min="1" max="1" width="0.7109375" customWidth="1"/>
    <col min="2" max="2" width="22.28515625" customWidth="1"/>
    <col min="13" max="13" width="19" customWidth="1"/>
    <col min="14" max="14" width="18.42578125" customWidth="1"/>
    <col min="15" max="15" width="16" customWidth="1"/>
    <col min="16" max="16" width="6.7109375" customWidth="1"/>
    <col min="17" max="17" width="3.7109375" customWidth="1"/>
    <col min="18" max="19" width="9.140625" hidden="1" customWidth="1"/>
  </cols>
  <sheetData>
    <row r="1" spans="1:21" x14ac:dyDescent="0.25">
      <c r="A1" s="19" t="s">
        <v>57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x14ac:dyDescent="0.25">
      <c r="B5" s="23" t="s">
        <v>64</v>
      </c>
    </row>
    <row r="6" spans="1:21" x14ac:dyDescent="0.25">
      <c r="B6" s="24"/>
    </row>
    <row r="7" spans="1:21" x14ac:dyDescent="0.25">
      <c r="B7" s="24"/>
    </row>
    <row r="8" spans="1:21" ht="15.75" thickBot="1" x14ac:dyDescent="0.3"/>
    <row r="9" spans="1:21" ht="26.25" x14ac:dyDescent="0.25">
      <c r="B9" s="14" t="s">
        <v>59</v>
      </c>
    </row>
    <row r="10" spans="1:21" ht="27" thickBot="1" x14ac:dyDescent="0.45">
      <c r="B10" s="15">
        <f>GETPIVOTDATA("Sale_ID",Sheet10!$A$3)</f>
        <v>500</v>
      </c>
    </row>
    <row r="14" spans="1:21" ht="15.75" thickBot="1" x14ac:dyDescent="0.3"/>
    <row r="15" spans="1:21" ht="26.25" x14ac:dyDescent="0.25">
      <c r="B15" s="17" t="s">
        <v>58</v>
      </c>
    </row>
    <row r="16" spans="1:21" ht="27" thickBot="1" x14ac:dyDescent="0.45">
      <c r="B16" s="18">
        <f>GETPIVOTDATA("Revenue_USD",Sheet10!$A$9)</f>
        <v>716695.57</v>
      </c>
    </row>
    <row r="20" spans="2:2" ht="15.75" thickBot="1" x14ac:dyDescent="0.3"/>
    <row r="21" spans="2:2" ht="26.25" x14ac:dyDescent="0.25">
      <c r="B21" s="14" t="s">
        <v>8</v>
      </c>
    </row>
    <row r="22" spans="2:2" ht="27" thickBot="1" x14ac:dyDescent="0.45">
      <c r="B22" s="16">
        <f>GETPIVOTDATA("Units_Sold",Sheet10!$A$13)</f>
        <v>52469</v>
      </c>
    </row>
    <row r="35" spans="7:15" x14ac:dyDescent="0.25">
      <c r="G35" s="21" t="s">
        <v>63</v>
      </c>
      <c r="H35" s="22"/>
      <c r="I35" s="22"/>
      <c r="J35" s="22"/>
      <c r="K35" s="22"/>
      <c r="L35" s="22"/>
      <c r="M35" s="22"/>
      <c r="N35" s="22"/>
    </row>
    <row r="36" spans="7:15" x14ac:dyDescent="0.25">
      <c r="G36" s="22"/>
      <c r="H36" s="22"/>
      <c r="I36" s="22"/>
      <c r="J36" s="22"/>
      <c r="K36" s="22"/>
      <c r="L36" s="22"/>
      <c r="M36" s="22"/>
      <c r="N36" s="22"/>
    </row>
    <row r="37" spans="7:15" x14ac:dyDescent="0.25">
      <c r="G37" s="22"/>
      <c r="H37" s="22"/>
      <c r="I37" s="22"/>
      <c r="J37" s="22"/>
      <c r="K37" s="22"/>
      <c r="L37" s="22"/>
      <c r="M37" s="22"/>
      <c r="N37" s="22"/>
    </row>
    <row r="39" spans="7:15" x14ac:dyDescent="0.25">
      <c r="L39" s="2" t="s">
        <v>60</v>
      </c>
      <c r="M39" s="2" t="s">
        <v>43</v>
      </c>
      <c r="N39" t="s">
        <v>61</v>
      </c>
      <c r="O39" t="s">
        <v>62</v>
      </c>
    </row>
    <row r="40" spans="7:15" x14ac:dyDescent="0.25">
      <c r="L40" s="3" t="s">
        <v>45</v>
      </c>
      <c r="M40">
        <v>59929.299999999996</v>
      </c>
      <c r="O40">
        <v>59929.299999999996</v>
      </c>
    </row>
    <row r="41" spans="7:15" x14ac:dyDescent="0.25">
      <c r="L41" s="3" t="s">
        <v>46</v>
      </c>
      <c r="M41">
        <v>55600.409999999996</v>
      </c>
      <c r="N41">
        <v>-4328.8899999999994</v>
      </c>
      <c r="O41">
        <v>55600.409999999996</v>
      </c>
    </row>
    <row r="42" spans="7:15" x14ac:dyDescent="0.25">
      <c r="L42" s="3" t="s">
        <v>47</v>
      </c>
      <c r="M42">
        <v>64676.639999999999</v>
      </c>
      <c r="N42">
        <v>9076.2300000000032</v>
      </c>
      <c r="O42">
        <v>64676.639999999999</v>
      </c>
    </row>
    <row r="43" spans="7:15" x14ac:dyDescent="0.25">
      <c r="L43" s="3" t="s">
        <v>48</v>
      </c>
      <c r="M43">
        <v>36590.680000000008</v>
      </c>
      <c r="N43">
        <v>-28085.959999999992</v>
      </c>
      <c r="O43">
        <v>36590.680000000008</v>
      </c>
    </row>
    <row r="44" spans="7:15" x14ac:dyDescent="0.25">
      <c r="L44" s="3" t="s">
        <v>49</v>
      </c>
      <c r="M44">
        <v>67848.539999999994</v>
      </c>
      <c r="N44">
        <v>31257.859999999986</v>
      </c>
      <c r="O44">
        <v>67848.539999999994</v>
      </c>
    </row>
    <row r="45" spans="7:15" x14ac:dyDescent="0.25">
      <c r="L45" s="3" t="s">
        <v>50</v>
      </c>
      <c r="M45">
        <v>74794.700000000012</v>
      </c>
      <c r="N45">
        <v>6946.160000000018</v>
      </c>
      <c r="O45">
        <v>74794.700000000012</v>
      </c>
    </row>
    <row r="46" spans="7:15" x14ac:dyDescent="0.25">
      <c r="L46" s="3" t="s">
        <v>51</v>
      </c>
      <c r="M46">
        <v>60032.52</v>
      </c>
      <c r="N46">
        <v>-14762.180000000015</v>
      </c>
      <c r="O46">
        <v>60032.52</v>
      </c>
    </row>
    <row r="47" spans="7:15" x14ac:dyDescent="0.25">
      <c r="L47" s="3" t="s">
        <v>52</v>
      </c>
      <c r="M47">
        <v>71731.64</v>
      </c>
      <c r="N47">
        <v>11699.120000000003</v>
      </c>
      <c r="O47">
        <v>71731.64</v>
      </c>
    </row>
    <row r="48" spans="7:15" x14ac:dyDescent="0.25">
      <c r="L48" s="3" t="s">
        <v>53</v>
      </c>
      <c r="M48">
        <v>54336.649999999994</v>
      </c>
      <c r="N48">
        <v>-17394.990000000005</v>
      </c>
      <c r="O48">
        <v>54336.649999999994</v>
      </c>
    </row>
    <row r="49" spans="12:15" x14ac:dyDescent="0.25">
      <c r="L49" s="3" t="s">
        <v>54</v>
      </c>
      <c r="M49">
        <v>61685.609999999993</v>
      </c>
      <c r="N49">
        <v>7348.9599999999991</v>
      </c>
      <c r="O49">
        <v>61685.609999999993</v>
      </c>
    </row>
    <row r="50" spans="12:15" x14ac:dyDescent="0.25">
      <c r="L50" s="3" t="s">
        <v>55</v>
      </c>
      <c r="M50">
        <v>44859.25</v>
      </c>
      <c r="N50">
        <v>-16826.359999999993</v>
      </c>
      <c r="O50">
        <v>44859.25</v>
      </c>
    </row>
    <row r="51" spans="12:15" x14ac:dyDescent="0.25">
      <c r="L51" s="3" t="s">
        <v>56</v>
      </c>
      <c r="M51">
        <v>64609.63</v>
      </c>
      <c r="N51">
        <v>19750.379999999997</v>
      </c>
      <c r="O51">
        <v>64609.63</v>
      </c>
    </row>
    <row r="52" spans="12:15" x14ac:dyDescent="0.25">
      <c r="L52" s="3" t="s">
        <v>41</v>
      </c>
      <c r="M52">
        <v>716695.57</v>
      </c>
      <c r="O52">
        <v>716695.57</v>
      </c>
    </row>
  </sheetData>
  <mergeCells count="3">
    <mergeCell ref="A1:U4"/>
    <mergeCell ref="G35:N37"/>
    <mergeCell ref="B5:B7"/>
  </mergeCells>
  <conditionalFormatting pivot="1" sqref="N40:N51">
    <cfRule type="cellIs" dxfId="7" priority="4" operator="lessThan">
      <formula>0</formula>
    </cfRule>
  </conditionalFormatting>
  <conditionalFormatting pivot="1" sqref="N40:N51">
    <cfRule type="cellIs" dxfId="6" priority="3" operator="greaterThan">
      <formula>0</formula>
    </cfRule>
  </conditionalFormatting>
  <conditionalFormatting pivot="1" sqref="N40:N5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pivot="1" sqref="O40:O51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{57C9B93D-7E23-436A-BDF4-B9AEBE9E417C}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7C9B93D-7E23-436A-BDF4-B9AEBE9E417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O40:O51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A669-E1C5-446D-A44D-1B1581D18AFF}">
  <dimension ref="A3:C38"/>
  <sheetViews>
    <sheetView workbookViewId="0">
      <selection activeCell="J18" sqref="J18"/>
    </sheetView>
  </sheetViews>
  <sheetFormatPr defaultRowHeight="15" x14ac:dyDescent="0.25"/>
  <cols>
    <col min="1" max="1" width="11.28515625" bestFit="1" customWidth="1"/>
    <col min="2" max="2" width="20.7109375" bestFit="1" customWidth="1"/>
  </cols>
  <sheetData>
    <row r="3" spans="1:2" x14ac:dyDescent="0.25">
      <c r="A3" s="2" t="s">
        <v>40</v>
      </c>
      <c r="B3" t="s">
        <v>43</v>
      </c>
    </row>
    <row r="4" spans="1:2" x14ac:dyDescent="0.25">
      <c r="A4" s="3" t="s">
        <v>45</v>
      </c>
      <c r="B4">
        <v>59929.299999999996</v>
      </c>
    </row>
    <row r="5" spans="1:2" x14ac:dyDescent="0.25">
      <c r="A5" s="3" t="s">
        <v>46</v>
      </c>
      <c r="B5">
        <v>55600.409999999996</v>
      </c>
    </row>
    <row r="6" spans="1:2" x14ac:dyDescent="0.25">
      <c r="A6" s="3" t="s">
        <v>47</v>
      </c>
      <c r="B6">
        <v>64676.639999999999</v>
      </c>
    </row>
    <row r="7" spans="1:2" x14ac:dyDescent="0.25">
      <c r="A7" s="3" t="s">
        <v>48</v>
      </c>
      <c r="B7">
        <v>36590.680000000008</v>
      </c>
    </row>
    <row r="8" spans="1:2" x14ac:dyDescent="0.25">
      <c r="A8" s="3" t="s">
        <v>49</v>
      </c>
      <c r="B8">
        <v>67848.539999999994</v>
      </c>
    </row>
    <row r="9" spans="1:2" x14ac:dyDescent="0.25">
      <c r="A9" s="3" t="s">
        <v>50</v>
      </c>
      <c r="B9">
        <v>74794.700000000012</v>
      </c>
    </row>
    <row r="10" spans="1:2" x14ac:dyDescent="0.25">
      <c r="A10" s="3" t="s">
        <v>51</v>
      </c>
      <c r="B10">
        <v>60032.52</v>
      </c>
    </row>
    <row r="11" spans="1:2" x14ac:dyDescent="0.25">
      <c r="A11" s="3" t="s">
        <v>52</v>
      </c>
      <c r="B11">
        <v>71731.64</v>
      </c>
    </row>
    <row r="12" spans="1:2" x14ac:dyDescent="0.25">
      <c r="A12" s="3" t="s">
        <v>53</v>
      </c>
      <c r="B12">
        <v>54336.649999999994</v>
      </c>
    </row>
    <row r="13" spans="1:2" x14ac:dyDescent="0.25">
      <c r="A13" s="3" t="s">
        <v>54</v>
      </c>
      <c r="B13">
        <v>61685.609999999993</v>
      </c>
    </row>
    <row r="14" spans="1:2" x14ac:dyDescent="0.25">
      <c r="A14" s="3" t="s">
        <v>55</v>
      </c>
      <c r="B14">
        <v>44859.25</v>
      </c>
    </row>
    <row r="15" spans="1:2" x14ac:dyDescent="0.25">
      <c r="A15" s="3" t="s">
        <v>56</v>
      </c>
      <c r="B15">
        <v>64609.63</v>
      </c>
    </row>
    <row r="16" spans="1:2" x14ac:dyDescent="0.25">
      <c r="A16" s="3" t="s">
        <v>41</v>
      </c>
      <c r="B16">
        <v>716695.57</v>
      </c>
    </row>
    <row r="21" spans="1:3" x14ac:dyDescent="0.25">
      <c r="A21" s="4"/>
      <c r="B21" s="5"/>
      <c r="C21" s="6"/>
    </row>
    <row r="22" spans="1:3" x14ac:dyDescent="0.25">
      <c r="A22" s="7"/>
      <c r="B22" s="8"/>
      <c r="C22" s="9"/>
    </row>
    <row r="23" spans="1:3" x14ac:dyDescent="0.25">
      <c r="A23" s="7"/>
      <c r="B23" s="8"/>
      <c r="C23" s="9"/>
    </row>
    <row r="24" spans="1:3" x14ac:dyDescent="0.25">
      <c r="A24" s="7"/>
      <c r="B24" s="8"/>
      <c r="C24" s="9"/>
    </row>
    <row r="25" spans="1:3" x14ac:dyDescent="0.25">
      <c r="A25" s="7"/>
      <c r="B25" s="8"/>
      <c r="C25" s="9"/>
    </row>
    <row r="26" spans="1:3" x14ac:dyDescent="0.25">
      <c r="A26" s="7"/>
      <c r="B26" s="8"/>
      <c r="C26" s="9"/>
    </row>
    <row r="27" spans="1:3" x14ac:dyDescent="0.25">
      <c r="A27" s="7"/>
      <c r="B27" s="8"/>
      <c r="C27" s="9"/>
    </row>
    <row r="28" spans="1:3" x14ac:dyDescent="0.25">
      <c r="A28" s="7"/>
      <c r="B28" s="8"/>
      <c r="C28" s="9"/>
    </row>
    <row r="29" spans="1:3" x14ac:dyDescent="0.25">
      <c r="A29" s="7"/>
      <c r="B29" s="8"/>
      <c r="C29" s="9"/>
    </row>
    <row r="30" spans="1:3" x14ac:dyDescent="0.25">
      <c r="A30" s="7"/>
      <c r="B30" s="8"/>
      <c r="C30" s="9"/>
    </row>
    <row r="31" spans="1:3" x14ac:dyDescent="0.25">
      <c r="A31" s="7"/>
      <c r="B31" s="8"/>
      <c r="C31" s="9"/>
    </row>
    <row r="32" spans="1:3" x14ac:dyDescent="0.25">
      <c r="A32" s="7"/>
      <c r="B32" s="8"/>
      <c r="C32" s="9"/>
    </row>
    <row r="33" spans="1:3" x14ac:dyDescent="0.25">
      <c r="A33" s="7"/>
      <c r="B33" s="8"/>
      <c r="C33" s="9"/>
    </row>
    <row r="34" spans="1:3" x14ac:dyDescent="0.25">
      <c r="A34" s="7"/>
      <c r="B34" s="8"/>
      <c r="C34" s="9"/>
    </row>
    <row r="35" spans="1:3" x14ac:dyDescent="0.25">
      <c r="A35" s="7"/>
      <c r="B35" s="8"/>
      <c r="C35" s="9"/>
    </row>
    <row r="36" spans="1:3" x14ac:dyDescent="0.25">
      <c r="A36" s="7"/>
      <c r="B36" s="8"/>
      <c r="C36" s="9"/>
    </row>
    <row r="37" spans="1:3" x14ac:dyDescent="0.25">
      <c r="A37" s="7"/>
      <c r="B37" s="8"/>
      <c r="C37" s="9"/>
    </row>
    <row r="38" spans="1:3" x14ac:dyDescent="0.25">
      <c r="A38" s="10"/>
      <c r="B38" s="11"/>
      <c r="C38" s="12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CE3F-4760-477D-BADB-4D1E86523186}">
  <dimension ref="A3:B8"/>
  <sheetViews>
    <sheetView topLeftCell="A2" workbookViewId="0">
      <selection activeCell="I15" sqref="I15"/>
    </sheetView>
  </sheetViews>
  <sheetFormatPr defaultRowHeight="15" x14ac:dyDescent="0.25"/>
  <cols>
    <col min="1" max="1" width="17.28515625" bestFit="1" customWidth="1"/>
    <col min="2" max="2" width="17.5703125" bestFit="1" customWidth="1"/>
    <col min="3" max="452" width="16.85546875" bestFit="1" customWidth="1"/>
    <col min="453" max="454" width="11.28515625" bestFit="1" customWidth="1"/>
  </cols>
  <sheetData>
    <row r="3" spans="1:2" x14ac:dyDescent="0.25">
      <c r="A3" s="2" t="s">
        <v>40</v>
      </c>
      <c r="B3" t="s">
        <v>42</v>
      </c>
    </row>
    <row r="4" spans="1:2" x14ac:dyDescent="0.25">
      <c r="A4" s="3" t="s">
        <v>26</v>
      </c>
      <c r="B4">
        <v>15338</v>
      </c>
    </row>
    <row r="5" spans="1:2" x14ac:dyDescent="0.25">
      <c r="A5" s="3" t="s">
        <v>13</v>
      </c>
      <c r="B5">
        <v>13148</v>
      </c>
    </row>
    <row r="6" spans="1:2" x14ac:dyDescent="0.25">
      <c r="A6" s="3" t="s">
        <v>36</v>
      </c>
      <c r="B6">
        <v>12589</v>
      </c>
    </row>
    <row r="7" spans="1:2" x14ac:dyDescent="0.25">
      <c r="A7" s="3" t="s">
        <v>18</v>
      </c>
      <c r="B7">
        <v>11394</v>
      </c>
    </row>
    <row r="8" spans="1:2" x14ac:dyDescent="0.25">
      <c r="A8" s="3" t="s">
        <v>41</v>
      </c>
      <c r="B8">
        <v>52469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DA6C-414D-4680-AE5E-94E09DDE6705}">
  <dimension ref="A3:B7"/>
  <sheetViews>
    <sheetView workbookViewId="0">
      <selection activeCell="B13" sqref="B13"/>
    </sheetView>
  </sheetViews>
  <sheetFormatPr defaultRowHeight="15" x14ac:dyDescent="0.25"/>
  <cols>
    <col min="1" max="1" width="13.42578125" bestFit="1" customWidth="1"/>
    <col min="2" max="2" width="25.28515625" bestFit="1" customWidth="1"/>
  </cols>
  <sheetData>
    <row r="3" spans="1:2" x14ac:dyDescent="0.25">
      <c r="A3" s="2" t="s">
        <v>40</v>
      </c>
      <c r="B3" t="s">
        <v>44</v>
      </c>
    </row>
    <row r="4" spans="1:2" x14ac:dyDescent="0.25">
      <c r="A4" s="3" t="s">
        <v>32</v>
      </c>
      <c r="B4">
        <v>162</v>
      </c>
    </row>
    <row r="5" spans="1:2" x14ac:dyDescent="0.25">
      <c r="A5" s="3" t="s">
        <v>19</v>
      </c>
      <c r="B5">
        <v>169</v>
      </c>
    </row>
    <row r="6" spans="1:2" x14ac:dyDescent="0.25">
      <c r="A6" s="3" t="s">
        <v>14</v>
      </c>
      <c r="B6">
        <v>169</v>
      </c>
    </row>
    <row r="7" spans="1:2" x14ac:dyDescent="0.25">
      <c r="A7" s="3" t="s">
        <v>41</v>
      </c>
      <c r="B7">
        <v>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E22-3F92-4B08-B648-4DA75B53A097}">
  <dimension ref="A3:B7"/>
  <sheetViews>
    <sheetView workbookViewId="0">
      <selection activeCell="M7" sqref="M7"/>
    </sheetView>
  </sheetViews>
  <sheetFormatPr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2" t="s">
        <v>40</v>
      </c>
      <c r="B3" t="s">
        <v>43</v>
      </c>
    </row>
    <row r="4" spans="1:2" x14ac:dyDescent="0.25">
      <c r="A4" s="3" t="s">
        <v>32</v>
      </c>
      <c r="B4">
        <v>223658.83000000007</v>
      </c>
    </row>
    <row r="5" spans="1:2" x14ac:dyDescent="0.25">
      <c r="A5" s="3" t="s">
        <v>19</v>
      </c>
      <c r="B5">
        <v>244688.25999999992</v>
      </c>
    </row>
    <row r="6" spans="1:2" x14ac:dyDescent="0.25">
      <c r="A6" s="3" t="s">
        <v>14</v>
      </c>
      <c r="B6">
        <v>248348.48000000004</v>
      </c>
    </row>
    <row r="7" spans="1:2" x14ac:dyDescent="0.25">
      <c r="A7" s="3" t="s">
        <v>41</v>
      </c>
      <c r="B7">
        <v>716695.57000000007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4B94-0A58-4E4E-B064-8A0482DC6A11}">
  <dimension ref="A3:B33"/>
  <sheetViews>
    <sheetView topLeftCell="A19" workbookViewId="0">
      <selection activeCell="H38" sqref="H38"/>
    </sheetView>
  </sheetViews>
  <sheetFormatPr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2" t="s">
        <v>40</v>
      </c>
      <c r="B3" t="s">
        <v>43</v>
      </c>
    </row>
    <row r="4" spans="1:2" x14ac:dyDescent="0.25">
      <c r="A4" s="3" t="s">
        <v>20</v>
      </c>
      <c r="B4">
        <v>118291.29</v>
      </c>
    </row>
    <row r="5" spans="1:2" x14ac:dyDescent="0.25">
      <c r="A5" s="3" t="s">
        <v>30</v>
      </c>
      <c r="B5">
        <v>115337.38999999996</v>
      </c>
    </row>
    <row r="6" spans="1:2" x14ac:dyDescent="0.25">
      <c r="A6" s="3" t="s">
        <v>15</v>
      </c>
      <c r="B6">
        <v>106042.48</v>
      </c>
    </row>
    <row r="7" spans="1:2" x14ac:dyDescent="0.25">
      <c r="A7" s="3" t="s">
        <v>27</v>
      </c>
      <c r="B7">
        <v>100439.80000000002</v>
      </c>
    </row>
    <row r="8" spans="1:2" x14ac:dyDescent="0.25">
      <c r="A8" s="3" t="s">
        <v>23</v>
      </c>
      <c r="B8">
        <v>93826.159999999989</v>
      </c>
    </row>
    <row r="9" spans="1:2" x14ac:dyDescent="0.25">
      <c r="A9" s="3" t="s">
        <v>10</v>
      </c>
      <c r="B9">
        <v>91669.719999999972</v>
      </c>
    </row>
    <row r="10" spans="1:2" x14ac:dyDescent="0.25">
      <c r="A10" s="3" t="s">
        <v>37</v>
      </c>
      <c r="B10">
        <v>91088.73000000001</v>
      </c>
    </row>
    <row r="11" spans="1:2" x14ac:dyDescent="0.25">
      <c r="A11" s="3" t="s">
        <v>41</v>
      </c>
      <c r="B11">
        <v>716695.57</v>
      </c>
    </row>
    <row r="25" spans="1:2" x14ac:dyDescent="0.25">
      <c r="A25" s="2" t="s">
        <v>40</v>
      </c>
      <c r="B25" t="s">
        <v>43</v>
      </c>
    </row>
    <row r="26" spans="1:2" x14ac:dyDescent="0.25">
      <c r="A26" s="3" t="s">
        <v>20</v>
      </c>
      <c r="B26" s="13">
        <v>0.16505095740999209</v>
      </c>
    </row>
    <row r="27" spans="1:2" x14ac:dyDescent="0.25">
      <c r="A27" s="3" t="s">
        <v>30</v>
      </c>
      <c r="B27" s="13">
        <v>0.16092940270301931</v>
      </c>
    </row>
    <row r="28" spans="1:2" x14ac:dyDescent="0.25">
      <c r="A28" s="3" t="s">
        <v>15</v>
      </c>
      <c r="B28" s="13">
        <v>0.14796028389013205</v>
      </c>
    </row>
    <row r="29" spans="1:2" x14ac:dyDescent="0.25">
      <c r="A29" s="3" t="s">
        <v>27</v>
      </c>
      <c r="B29" s="13">
        <v>0.14014290614353878</v>
      </c>
    </row>
    <row r="30" spans="1:2" x14ac:dyDescent="0.25">
      <c r="A30" s="3" t="s">
        <v>23</v>
      </c>
      <c r="B30" s="13">
        <v>0.13091494342570026</v>
      </c>
    </row>
    <row r="31" spans="1:2" x14ac:dyDescent="0.25">
      <c r="A31" s="3" t="s">
        <v>10</v>
      </c>
      <c r="B31" s="13">
        <v>0.12790607872740162</v>
      </c>
    </row>
    <row r="32" spans="1:2" x14ac:dyDescent="0.25">
      <c r="A32" s="3" t="s">
        <v>37</v>
      </c>
      <c r="B32" s="13">
        <v>0.1270954277002159</v>
      </c>
    </row>
    <row r="33" spans="1:2" x14ac:dyDescent="0.25">
      <c r="A33" s="3" t="s">
        <v>41</v>
      </c>
      <c r="B33" s="13">
        <v>1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D174-C770-48FF-946D-4FF7C2C01775}">
  <dimension ref="A3:B29"/>
  <sheetViews>
    <sheetView topLeftCell="A16" workbookViewId="0">
      <selection activeCell="C32" sqref="C32"/>
    </sheetView>
  </sheetViews>
  <sheetFormatPr defaultRowHeight="15" x14ac:dyDescent="0.25"/>
  <cols>
    <col min="1" max="1" width="15.42578125" bestFit="1" customWidth="1"/>
    <col min="2" max="2" width="20.7109375" bestFit="1" customWidth="1"/>
  </cols>
  <sheetData>
    <row r="3" spans="1:2" x14ac:dyDescent="0.25">
      <c r="A3" s="2" t="s">
        <v>40</v>
      </c>
      <c r="B3" t="s">
        <v>43</v>
      </c>
    </row>
    <row r="4" spans="1:2" x14ac:dyDescent="0.25">
      <c r="A4" s="3" t="s">
        <v>33</v>
      </c>
      <c r="B4">
        <v>151378.86000000002</v>
      </c>
    </row>
    <row r="5" spans="1:2" x14ac:dyDescent="0.25">
      <c r="A5" s="3" t="s">
        <v>11</v>
      </c>
      <c r="B5">
        <v>119985.57999999999</v>
      </c>
    </row>
    <row r="6" spans="1:2" x14ac:dyDescent="0.25">
      <c r="A6" s="3" t="s">
        <v>24</v>
      </c>
      <c r="B6">
        <v>116117.81</v>
      </c>
    </row>
    <row r="7" spans="1:2" x14ac:dyDescent="0.25">
      <c r="A7" s="3" t="s">
        <v>16</v>
      </c>
      <c r="B7">
        <v>114664.96999999994</v>
      </c>
    </row>
    <row r="8" spans="1:2" x14ac:dyDescent="0.25">
      <c r="A8" s="3" t="s">
        <v>21</v>
      </c>
      <c r="B8">
        <v>108655.80000000002</v>
      </c>
    </row>
    <row r="9" spans="1:2" x14ac:dyDescent="0.25">
      <c r="A9" s="3" t="s">
        <v>28</v>
      </c>
      <c r="B9">
        <v>105892.54999999996</v>
      </c>
    </row>
    <row r="10" spans="1:2" x14ac:dyDescent="0.25">
      <c r="A10" s="3" t="s">
        <v>41</v>
      </c>
      <c r="B10">
        <v>716695.57</v>
      </c>
    </row>
    <row r="22" spans="1:2" x14ac:dyDescent="0.25">
      <c r="A22" s="2" t="s">
        <v>40</v>
      </c>
      <c r="B22" t="s">
        <v>43</v>
      </c>
    </row>
    <row r="23" spans="1:2" x14ac:dyDescent="0.25">
      <c r="A23" s="3" t="s">
        <v>33</v>
      </c>
      <c r="B23">
        <v>151378.86000000002</v>
      </c>
    </row>
    <row r="24" spans="1:2" x14ac:dyDescent="0.25">
      <c r="A24" s="3" t="s">
        <v>11</v>
      </c>
      <c r="B24">
        <v>119985.57999999999</v>
      </c>
    </row>
    <row r="25" spans="1:2" x14ac:dyDescent="0.25">
      <c r="A25" s="3" t="s">
        <v>24</v>
      </c>
      <c r="B25">
        <v>116117.81</v>
      </c>
    </row>
    <row r="26" spans="1:2" x14ac:dyDescent="0.25">
      <c r="A26" s="3" t="s">
        <v>16</v>
      </c>
      <c r="B26">
        <v>114664.96999999994</v>
      </c>
    </row>
    <row r="27" spans="1:2" x14ac:dyDescent="0.25">
      <c r="A27" s="3" t="s">
        <v>21</v>
      </c>
      <c r="B27">
        <v>108655.80000000002</v>
      </c>
    </row>
    <row r="28" spans="1:2" x14ac:dyDescent="0.25">
      <c r="A28" s="3" t="s">
        <v>28</v>
      </c>
      <c r="B28">
        <v>105892.54999999996</v>
      </c>
    </row>
    <row r="29" spans="1:2" x14ac:dyDescent="0.25">
      <c r="A29" s="3" t="s">
        <v>41</v>
      </c>
      <c r="B29">
        <v>716695.57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C09F-1F16-4368-8391-ED2F7BD804EA}">
  <dimension ref="A3:B30"/>
  <sheetViews>
    <sheetView workbookViewId="0">
      <selection activeCell="D24" sqref="D24"/>
    </sheetView>
  </sheetViews>
  <sheetFormatPr defaultRowHeight="15" x14ac:dyDescent="0.25"/>
  <cols>
    <col min="1" max="1" width="15.42578125" bestFit="1" customWidth="1"/>
    <col min="2" max="2" width="17.5703125" bestFit="1" customWidth="1"/>
  </cols>
  <sheetData>
    <row r="3" spans="1:2" x14ac:dyDescent="0.25">
      <c r="A3" s="2" t="s">
        <v>40</v>
      </c>
      <c r="B3" t="s">
        <v>42</v>
      </c>
    </row>
    <row r="4" spans="1:2" x14ac:dyDescent="0.25">
      <c r="A4" s="3" t="s">
        <v>33</v>
      </c>
      <c r="B4">
        <v>10291</v>
      </c>
    </row>
    <row r="5" spans="1:2" x14ac:dyDescent="0.25">
      <c r="A5" s="3" t="s">
        <v>11</v>
      </c>
      <c r="B5">
        <v>9371</v>
      </c>
    </row>
    <row r="6" spans="1:2" x14ac:dyDescent="0.25">
      <c r="A6" s="3" t="s">
        <v>16</v>
      </c>
      <c r="B6">
        <v>8754</v>
      </c>
    </row>
    <row r="7" spans="1:2" x14ac:dyDescent="0.25">
      <c r="A7" s="3" t="s">
        <v>24</v>
      </c>
      <c r="B7">
        <v>8550</v>
      </c>
    </row>
    <row r="8" spans="1:2" x14ac:dyDescent="0.25">
      <c r="A8" s="3" t="s">
        <v>28</v>
      </c>
      <c r="B8">
        <v>7763</v>
      </c>
    </row>
    <row r="9" spans="1:2" x14ac:dyDescent="0.25">
      <c r="A9" s="3" t="s">
        <v>21</v>
      </c>
      <c r="B9">
        <v>7740</v>
      </c>
    </row>
    <row r="10" spans="1:2" x14ac:dyDescent="0.25">
      <c r="A10" s="3" t="s">
        <v>41</v>
      </c>
      <c r="B10">
        <v>52469</v>
      </c>
    </row>
    <row r="23" spans="1:2" x14ac:dyDescent="0.25">
      <c r="A23" s="2" t="s">
        <v>40</v>
      </c>
      <c r="B23" t="s">
        <v>42</v>
      </c>
    </row>
    <row r="24" spans="1:2" x14ac:dyDescent="0.25">
      <c r="A24" s="3" t="s">
        <v>33</v>
      </c>
      <c r="B24">
        <v>10291</v>
      </c>
    </row>
    <row r="25" spans="1:2" x14ac:dyDescent="0.25">
      <c r="A25" s="3" t="s">
        <v>11</v>
      </c>
      <c r="B25">
        <v>9371</v>
      </c>
    </row>
    <row r="26" spans="1:2" x14ac:dyDescent="0.25">
      <c r="A26" s="3" t="s">
        <v>16</v>
      </c>
      <c r="B26">
        <v>8754</v>
      </c>
    </row>
    <row r="27" spans="1:2" x14ac:dyDescent="0.25">
      <c r="A27" s="3" t="s">
        <v>24</v>
      </c>
      <c r="B27">
        <v>8550</v>
      </c>
    </row>
    <row r="28" spans="1:2" x14ac:dyDescent="0.25">
      <c r="A28" s="3" t="s">
        <v>28</v>
      </c>
      <c r="B28">
        <v>7763</v>
      </c>
    </row>
    <row r="29" spans="1:2" x14ac:dyDescent="0.25">
      <c r="A29" s="3" t="s">
        <v>21</v>
      </c>
      <c r="B29">
        <v>7740</v>
      </c>
    </row>
    <row r="30" spans="1:2" x14ac:dyDescent="0.25">
      <c r="A30" s="3" t="s">
        <v>41</v>
      </c>
      <c r="B30">
        <v>52469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ADD6-74F3-4AE9-BCF9-C4C03246B919}">
  <dimension ref="A3:A14"/>
  <sheetViews>
    <sheetView topLeftCell="A4" workbookViewId="0">
      <selection activeCell="A14" sqref="A14"/>
    </sheetView>
  </sheetViews>
  <sheetFormatPr defaultRowHeight="15" x14ac:dyDescent="0.25"/>
  <cols>
    <col min="1" max="1" width="17.5703125" bestFit="1" customWidth="1"/>
    <col min="2" max="2" width="14.5703125" bestFit="1" customWidth="1"/>
  </cols>
  <sheetData>
    <row r="3" spans="1:1" x14ac:dyDescent="0.25">
      <c r="A3" t="s">
        <v>65</v>
      </c>
    </row>
    <row r="4" spans="1:1" x14ac:dyDescent="0.25">
      <c r="A4">
        <v>500</v>
      </c>
    </row>
    <row r="9" spans="1:1" x14ac:dyDescent="0.25">
      <c r="A9" t="s">
        <v>43</v>
      </c>
    </row>
    <row r="10" spans="1:1" x14ac:dyDescent="0.25">
      <c r="A10">
        <v>716695.57</v>
      </c>
    </row>
    <row r="13" spans="1:1" x14ac:dyDescent="0.25">
      <c r="A13" t="s">
        <v>42</v>
      </c>
    </row>
    <row r="14" spans="1:1" x14ac:dyDescent="0.25">
      <c r="A14">
        <v>52469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FB79ED-5767-42E1-B44D-84A13B7B2B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chocolate_sales_2025_dataset</vt:lpstr>
      <vt:lpstr>Sales_Dashboard</vt:lpstr>
      <vt:lpstr>Monthly_Sales</vt:lpstr>
      <vt:lpstr>Channel_Sales</vt:lpstr>
      <vt:lpstr>Transactions_Through_Payment Me</vt:lpstr>
      <vt:lpstr>Revenue_From_Payment Methods</vt:lpstr>
      <vt:lpstr>Bradnwise_Revenue</vt:lpstr>
      <vt:lpstr>Productwise_Sales</vt:lpstr>
      <vt:lpstr>ProductWise_Units_Sold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 Burugula</dc:creator>
  <cp:lastModifiedBy>Karthikeya Burugula</cp:lastModifiedBy>
  <dcterms:created xsi:type="dcterms:W3CDTF">2026-03-19T06:23:26Z</dcterms:created>
  <dcterms:modified xsi:type="dcterms:W3CDTF">2026-04-29T17:08:00Z</dcterms:modified>
</cp:coreProperties>
</file>